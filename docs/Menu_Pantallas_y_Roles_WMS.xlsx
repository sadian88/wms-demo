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ú y Pantallas" sheetId="1" state="visible" r:id="rId3"/>
    <sheet name="Matriz Roles" sheetId="2" state="visible" r:id="rId4"/>
    <sheet name="Roles" sheetId="3" state="visible" r:id="rId5"/>
    <sheet name="Resumen Módulos" sheetId="4" state="visible" r:id="rId6"/>
  </sheets>
  <definedNames>
    <definedName function="false" hidden="true" localSheetId="0" name="_xlnm._FilterDatabase" vbProcedure="false">'Menú y Pantallas'!$A$1:$F$68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<sst xmlns="http://schemas.openxmlformats.org/spreadsheetml/2006/main" count="406" uniqueCount="290">
  <si>
    <t xml:space="preserve">Módulo N°</t>
  </si>
  <si>
    <t xml:space="preserve">Módulo</t>
  </si>
  <si>
    <t xml:space="preserve">Código</t>
  </si>
  <si>
    <t xml:space="preserve">Pantalla</t>
  </si>
  <si>
    <t xml:space="preserve">Descripción</t>
  </si>
  <si>
    <t xml:space="preserve">Roles</t>
  </si>
  <si>
    <t xml:space="preserve">Dashboard e Indicadores</t>
  </si>
  <si>
    <t xml:space="preserve">1.1</t>
  </si>
  <si>
    <t xml:space="preserve">Visión general</t>
  </si>
  <si>
    <t xml:space="preserve">Pedidos por estado, ocupación y cumplimiento por bodega o consolidado</t>
  </si>
  <si>
    <t xml:space="preserve">ADM, JB, GER</t>
  </si>
  <si>
    <t xml:space="preserve">1.2</t>
  </si>
  <si>
    <t xml:space="preserve">KPIs operativos</t>
  </si>
  <si>
    <t xml:space="preserve">Exactitud de inventario, dock-to-stock, líneas por hora, mermas, OTIF</t>
  </si>
  <si>
    <t xml:space="preserve">ADM, JB, AUD, GER</t>
  </si>
  <si>
    <t xml:space="preserve">1.3</t>
  </si>
  <si>
    <t xml:space="preserve">Alertas y excepciones</t>
  </si>
  <si>
    <t xml:space="preserve">Quiebres, vencimientos, inconsistencias y pedidos atrasados con responsable</t>
  </si>
  <si>
    <t xml:space="preserve">ADM, JB, COM, TRA</t>
  </si>
  <si>
    <t xml:space="preserve">Multi-Bodega y Ubicaciones</t>
  </si>
  <si>
    <t xml:space="preserve">2.1</t>
  </si>
  <si>
    <t xml:space="preserve">Consolidado Cuenta Padre</t>
  </si>
  <si>
    <t xml:space="preserve">Stock global por SKU, estado y bodega, con comparativos</t>
  </si>
  <si>
    <t xml:space="preserve">ADM, JB, COM, GER</t>
  </si>
  <si>
    <t xml:space="preserve">2.2</t>
  </si>
  <si>
    <t xml:space="preserve">Bodegas</t>
  </si>
  <si>
    <t xml:space="preserve">Alta y edición de bodegas hijas, horarios y zona horaria</t>
  </si>
  <si>
    <t xml:space="preserve">ADM</t>
  </si>
  <si>
    <t xml:space="preserve">2.3</t>
  </si>
  <si>
    <t xml:space="preserve">Ubicaciones y zonas</t>
  </si>
  <si>
    <t xml:space="preserve">Pasillo-Rack-Nivel-Bin, capacidad, tipo y estado</t>
  </si>
  <si>
    <t xml:space="preserve">ADM, JB</t>
  </si>
  <si>
    <t xml:space="preserve">2.4</t>
  </si>
  <si>
    <t xml:space="preserve">Reglas de putaway y reposición</t>
  </si>
  <si>
    <t xml:space="preserve">Sugerencia de ubicación y mínimos/máximos de picking</t>
  </si>
  <si>
    <t xml:space="preserve">2.5</t>
  </si>
  <si>
    <t xml:space="preserve">Traspasos inter-bodegas</t>
  </si>
  <si>
    <t xml:space="preserve">Solicitud, aprobación, tránsito y recepción de traslados</t>
  </si>
  <si>
    <t xml:space="preserve">JB, REC, PCK</t>
  </si>
  <si>
    <t xml:space="preserve">Recepción e Ingresos</t>
  </si>
  <si>
    <t xml:space="preserve">3.1</t>
  </si>
  <si>
    <t xml:space="preserve">Agenda de muelles y ASN</t>
  </si>
  <si>
    <t xml:space="preserve">Citas de llegada y avisos anticipados del proveedor</t>
  </si>
  <si>
    <t xml:space="preserve">JB, REC</t>
  </si>
  <si>
    <t xml:space="preserve">3.2</t>
  </si>
  <si>
    <t xml:space="preserve">Recepción contra OC</t>
  </si>
  <si>
    <t xml:space="preserve">Conteo, escaneo y registro contra orden de compra</t>
  </si>
  <si>
    <t xml:space="preserve">REC, JB</t>
  </si>
  <si>
    <t xml:space="preserve">3.3</t>
  </si>
  <si>
    <t xml:space="preserve">Inspección de calidad</t>
  </si>
  <si>
    <t xml:space="preserve">Checklist, fotos y resultado aprobado/rechazado</t>
  </si>
  <si>
    <t xml:space="preserve">CAL, JB</t>
  </si>
  <si>
    <t xml:space="preserve">3.4</t>
  </si>
  <si>
    <t xml:space="preserve">Putaway</t>
  </si>
  <si>
    <t xml:space="preserve">Tareas de ubicación en terminal móvil</t>
  </si>
  <si>
    <t xml:space="preserve">REC</t>
  </si>
  <si>
    <t xml:space="preserve">3.5</t>
  </si>
  <si>
    <t xml:space="preserve">Etiquetas y LPN</t>
  </si>
  <si>
    <t xml:space="preserve">Generación y reimpresión de barcode, QR y LPN</t>
  </si>
  <si>
    <t xml:space="preserve">3.6</t>
  </si>
  <si>
    <t xml:space="preserve">Discrepancias con proveedor</t>
  </si>
  <si>
    <t xml:space="preserve">Diferencias contra guía o factura y notas al proveedor</t>
  </si>
  <si>
    <t xml:space="preserve">JB, COM</t>
  </si>
  <si>
    <t xml:space="preserve">Existencias y Stock</t>
  </si>
  <si>
    <t xml:space="preserve">4.1</t>
  </si>
  <si>
    <t xml:space="preserve">Consulta de existencias</t>
  </si>
  <si>
    <t xml:space="preserve">On-hand filtrable por bodega, ubicación, SKU, lote, estado</t>
  </si>
  <si>
    <t xml:space="preserve">Todos según permisos</t>
  </si>
  <si>
    <t xml:space="preserve">4.2</t>
  </si>
  <si>
    <t xml:space="preserve">Stock reservado</t>
  </si>
  <si>
    <t xml:space="preserve">Reservas por pedido y canal, con liberación manual</t>
  </si>
  <si>
    <t xml:space="preserve">JB, ADM</t>
  </si>
  <si>
    <t xml:space="preserve">4.3</t>
  </si>
  <si>
    <t xml:space="preserve">Disponible y ATP</t>
  </si>
  <si>
    <t xml:space="preserve">Disponible real y ATP con OC confirmadas, más buffers por canal</t>
  </si>
  <si>
    <t xml:space="preserve">JB, COM, GER</t>
  </si>
  <si>
    <t xml:space="preserve">4.4</t>
  </si>
  <si>
    <t xml:space="preserve">Kárdex y trazabilidad</t>
  </si>
  <si>
    <t xml:space="preserve">Historial inmutable y trazabilidad por lote y serie</t>
  </si>
  <si>
    <t xml:space="preserve">JB, AUD, GER</t>
  </si>
  <si>
    <t xml:space="preserve">4.5</t>
  </si>
  <si>
    <t xml:space="preserve">Bloqueo y recall por lote</t>
  </si>
  <si>
    <t xml:space="preserve">Bloqueo masivo y listado de pedidos afectados</t>
  </si>
  <si>
    <t xml:space="preserve">CAL, JB, ADM</t>
  </si>
  <si>
    <t xml:space="preserve">4.6</t>
  </si>
  <si>
    <t xml:space="preserve">Ajustes de inventario</t>
  </si>
  <si>
    <t xml:space="preserve">Ajustes con motivo, evidencia y aprobación</t>
  </si>
  <si>
    <t xml:space="preserve">4.7</t>
  </si>
  <si>
    <t xml:space="preserve">Valorización</t>
  </si>
  <si>
    <t xml:space="preserve">Valor del inventario y efecto contable de ajustes</t>
  </si>
  <si>
    <t xml:space="preserve">GER, AUD, ADM</t>
  </si>
  <si>
    <t xml:space="preserve">Ventas y Pedidos (API)</t>
  </si>
  <si>
    <t xml:space="preserve">5.1</t>
  </si>
  <si>
    <t xml:space="preserve">Pedidos de salida</t>
  </si>
  <si>
    <t xml:space="preserve">Listado por bodega, canal, estado, prioridad y SLA</t>
  </si>
  <si>
    <t xml:space="preserve">JB, ADM, TRA</t>
  </si>
  <si>
    <t xml:space="preserve">5.2</t>
  </si>
  <si>
    <t xml:space="preserve">Detalle de pedido</t>
  </si>
  <si>
    <t xml:space="preserve">Líneas, reservas, bultos, historial y tracking</t>
  </si>
  <si>
    <t xml:space="preserve">5.3</t>
  </si>
  <si>
    <t xml:space="preserve">Backorders y faltantes</t>
  </si>
  <si>
    <t xml:space="preserve">Pedidos sin cobertura y decisión de parcial, split o rechazo</t>
  </si>
  <si>
    <t xml:space="preserve">5.4</t>
  </si>
  <si>
    <t xml:space="preserve">Cancelaciones y cambios</t>
  </si>
  <si>
    <t xml:space="preserve">Solicitudes del canal según etapa del pedido</t>
  </si>
  <si>
    <t xml:space="preserve">JB</t>
  </si>
  <si>
    <t xml:space="preserve">5.5</t>
  </si>
  <si>
    <t xml:space="preserve">Monitor de API de ventas</t>
  </si>
  <si>
    <t xml:space="preserve">Llamadas, errores, reintentos y conciliación</t>
  </si>
  <si>
    <t xml:space="preserve">5.6</t>
  </si>
  <si>
    <t xml:space="preserve">Sincronización saliente</t>
  </si>
  <si>
    <t xml:space="preserve">Estado de webhooks de stock y estados hacia los canales</t>
  </si>
  <si>
    <t xml:space="preserve">5.7</t>
  </si>
  <si>
    <t xml:space="preserve">Kits y combos</t>
  </si>
  <si>
    <t xml:space="preserve">Definición de componentes y disponibilidad del kit</t>
  </si>
  <si>
    <t xml:space="preserve">Compras y Reabastecimiento</t>
  </si>
  <si>
    <t xml:space="preserve">6.1</t>
  </si>
  <si>
    <t xml:space="preserve">Necesidad de compra</t>
  </si>
  <si>
    <t xml:space="preserve">Faltantes calculados por SKU y bodega</t>
  </si>
  <si>
    <t xml:space="preserve">COM, JB</t>
  </si>
  <si>
    <t xml:space="preserve">6.2</t>
  </si>
  <si>
    <t xml:space="preserve">Sugerencias de OC</t>
  </si>
  <si>
    <t xml:space="preserve">Borradores agrupados por proveedor y su aprobación</t>
  </si>
  <si>
    <t xml:space="preserve">COM, GER</t>
  </si>
  <si>
    <t xml:space="preserve">6.3</t>
  </si>
  <si>
    <t xml:space="preserve">Órdenes de compra</t>
  </si>
  <si>
    <t xml:space="preserve">Gestión y envío de OC</t>
  </si>
  <si>
    <t xml:space="preserve">COM</t>
  </si>
  <si>
    <t xml:space="preserve">6.4</t>
  </si>
  <si>
    <t xml:space="preserve">OC en tránsito</t>
  </si>
  <si>
    <t xml:space="preserve">Seguimiento, fechas estimadas y retrasos</t>
  </si>
  <si>
    <t xml:space="preserve">6.5</t>
  </si>
  <si>
    <t xml:space="preserve">Proveedores</t>
  </si>
  <si>
    <t xml:space="preserve">Maestro, condiciones, lead time y desempeño</t>
  </si>
  <si>
    <t xml:space="preserve">COM, ADM</t>
  </si>
  <si>
    <t xml:space="preserve">Preparación y Despachos</t>
  </si>
  <si>
    <t xml:space="preserve">7.1</t>
  </si>
  <si>
    <t xml:space="preserve">Cola de preparación</t>
  </si>
  <si>
    <t xml:space="preserve">Asignación de pedidos a operarios por prioridad y corte</t>
  </si>
  <si>
    <t xml:space="preserve">7.2</t>
  </si>
  <si>
    <t xml:space="preserve">Olas de picking</t>
  </si>
  <si>
    <t xml:space="preserve">Creación y liberación de olas y rutas FIFO/FEFO</t>
  </si>
  <si>
    <t xml:space="preserve">7.3</t>
  </si>
  <si>
    <t xml:space="preserve">Picking móvil</t>
  </si>
  <si>
    <t xml:space="preserve">Recolección guiada por escaneo, con modo offline</t>
  </si>
  <si>
    <t xml:space="preserve">PCK</t>
  </si>
  <si>
    <t xml:space="preserve">7.4</t>
  </si>
  <si>
    <t xml:space="preserve">Packing</t>
  </si>
  <si>
    <t xml:space="preserve">Validación, selección de caja, pesaje y bultos</t>
  </si>
  <si>
    <t xml:space="preserve">PKG</t>
  </si>
  <si>
    <t xml:space="preserve">7.5</t>
  </si>
  <si>
    <t xml:space="preserve">Muelle de salida</t>
  </si>
  <si>
    <t xml:space="preserve">Consolidación por transportista, escaneo de carga y manifiesto</t>
  </si>
  <si>
    <t xml:space="preserve">PKG, JB, TRA</t>
  </si>
  <si>
    <t xml:space="preserve">7.6</t>
  </si>
  <si>
    <t xml:space="preserve">Incidencias de picking</t>
  </si>
  <si>
    <t xml:space="preserve">Faltantes en ubicación y reasignación</t>
  </si>
  <si>
    <t xml:space="preserve">PCK, JB</t>
  </si>
  <si>
    <t xml:space="preserve">Transporte y Última Milla</t>
  </si>
  <si>
    <t xml:space="preserve">8.1</t>
  </si>
  <si>
    <t xml:space="preserve">Transportistas y servicios</t>
  </si>
  <si>
    <t xml:space="preserve">Maestro, cobertura, tiempos y cortes</t>
  </si>
  <si>
    <t xml:space="preserve">TRA, ADM</t>
  </si>
  <si>
    <t xml:space="preserve">8.2</t>
  </si>
  <si>
    <t xml:space="preserve">Reglas de selección</t>
  </si>
  <si>
    <t xml:space="preserve">Criterios por costo, SLA, cobertura o valor</t>
  </si>
  <si>
    <t xml:space="preserve">8.3</t>
  </si>
  <si>
    <t xml:space="preserve">Guías y etiquetas</t>
  </si>
  <si>
    <t xml:space="preserve">Generación, reimpresión y anulación de guías</t>
  </si>
  <si>
    <t xml:space="preserve">PKG, TRA</t>
  </si>
  <si>
    <t xml:space="preserve">8.4</t>
  </si>
  <si>
    <t xml:space="preserve">Manifiestos</t>
  </si>
  <si>
    <t xml:space="preserve">Cierre de despacho por transportista</t>
  </si>
  <si>
    <t xml:space="preserve">TRA, JB</t>
  </si>
  <si>
    <t xml:space="preserve">8.5</t>
  </si>
  <si>
    <t xml:space="preserve">Tracking de envíos</t>
  </si>
  <si>
    <t xml:space="preserve">Estados normalizados y envío al canal y al cliente</t>
  </si>
  <si>
    <t xml:space="preserve">TRA, JB, GER</t>
  </si>
  <si>
    <t xml:space="preserve">8.6</t>
  </si>
  <si>
    <t xml:space="preserve">Entregas fallidas y siniestros</t>
  </si>
  <si>
    <t xml:space="preserve">Reintentos, retornos y reclamos</t>
  </si>
  <si>
    <t xml:space="preserve">TRA</t>
  </si>
  <si>
    <t xml:space="preserve">8.7</t>
  </si>
  <si>
    <t xml:space="preserve">Costos de flete</t>
  </si>
  <si>
    <t xml:space="preserve">Costo real por pedido y conciliación</t>
  </si>
  <si>
    <t xml:space="preserve">TRA, GER, AUD</t>
  </si>
  <si>
    <t xml:space="preserve">Devoluciones de Clientes</t>
  </si>
  <si>
    <t xml:space="preserve">9.1</t>
  </si>
  <si>
    <t xml:space="preserve">Solicitudes RMA</t>
  </si>
  <si>
    <t xml:space="preserve">Alta, elegibilidad y etiqueta de retorno</t>
  </si>
  <si>
    <t xml:space="preserve">9.2</t>
  </si>
  <si>
    <t xml:space="preserve">Recepción de devoluciones</t>
  </si>
  <si>
    <t xml:space="preserve">Ingreso por escaneo a zona de devoluciones</t>
  </si>
  <si>
    <t xml:space="preserve">9.3</t>
  </si>
  <si>
    <t xml:space="preserve">Inspección y decisión</t>
  </si>
  <si>
    <t xml:space="preserve">Reingreso, reacondicionamiento, merma o proveedor</t>
  </si>
  <si>
    <t xml:space="preserve">9.4</t>
  </si>
  <si>
    <t xml:space="preserve">Cierre financiero</t>
  </si>
  <si>
    <t xml:space="preserve">Notificación de reembolso o nota de crédito</t>
  </si>
  <si>
    <t xml:space="preserve">JB, GER</t>
  </si>
  <si>
    <t xml:space="preserve">Mermas, Rezagados y Calidad</t>
  </si>
  <si>
    <t xml:space="preserve">10.1</t>
  </si>
  <si>
    <t xml:space="preserve">Inventario rezagado (AIP)</t>
  </si>
  <si>
    <t xml:space="preserve">SKUs sin movimiento a 30/60/90+ días y estrategia</t>
  </si>
  <si>
    <t xml:space="preserve">10.2</t>
  </si>
  <si>
    <t xml:space="preserve">Registro de mermas</t>
  </si>
  <si>
    <t xml:space="preserve">Merma por motivo, con fotos y evidencia</t>
  </si>
  <si>
    <t xml:space="preserve">10.3</t>
  </si>
  <si>
    <t xml:space="preserve">Aprobación de bajas</t>
  </si>
  <si>
    <t xml:space="preserve">Doble aprobación por umbral</t>
  </si>
  <si>
    <t xml:space="preserve">JB, GER, AUD</t>
  </si>
  <si>
    <t xml:space="preserve">10.4</t>
  </si>
  <si>
    <t xml:space="preserve">Programación de conteos</t>
  </si>
  <si>
    <t xml:space="preserve">Calendario de inventario cíclico ABC o por eventos</t>
  </si>
  <si>
    <t xml:space="preserve">AUD, JB</t>
  </si>
  <si>
    <t xml:space="preserve">10.5</t>
  </si>
  <si>
    <t xml:space="preserve">Conteo ciego</t>
  </si>
  <si>
    <t xml:space="preserve">Captura móvil sin ver la cantidad teórica</t>
  </si>
  <si>
    <t xml:space="preserve">REC, PCK, AUD</t>
  </si>
  <si>
    <t xml:space="preserve">10.6</t>
  </si>
  <si>
    <t xml:space="preserve">Diferencias y ajustes</t>
  </si>
  <si>
    <t xml:space="preserve">Recuentos y aprobación de ajustes</t>
  </si>
  <si>
    <t xml:space="preserve">AUD, JB, GER</t>
  </si>
  <si>
    <t xml:space="preserve">10.7</t>
  </si>
  <si>
    <t xml:space="preserve">Vencimientos</t>
  </si>
  <si>
    <t xml:space="preserve">Alertas escalonadas y acciones sobre lotes por vencer</t>
  </si>
  <si>
    <t xml:space="preserve">Configuración General</t>
  </si>
  <si>
    <t xml:space="preserve">11.1</t>
  </si>
  <si>
    <t xml:space="preserve">Usuarios y roles (RBAC)</t>
  </si>
  <si>
    <t xml:space="preserve">Perfiles y matriz de permisos por menú y bodega</t>
  </si>
  <si>
    <t xml:space="preserve">11.2</t>
  </si>
  <si>
    <t xml:space="preserve">Seguridad y auditoría</t>
  </si>
  <si>
    <t xml:space="preserve">Sesiones, doble factor y bitácora de cambios</t>
  </si>
  <si>
    <t xml:space="preserve">ADM, AUD</t>
  </si>
  <si>
    <t xml:space="preserve">11.3</t>
  </si>
  <si>
    <t xml:space="preserve">Catálogo de SKUs</t>
  </si>
  <si>
    <t xml:space="preserve">Productos, códigos, tipo de control, dimensiones y carga masiva</t>
  </si>
  <si>
    <t xml:space="preserve">11.4</t>
  </si>
  <si>
    <t xml:space="preserve">Unidades y conversiones</t>
  </si>
  <si>
    <t xml:space="preserve">Unidad base, empaques y reglas de conversión</t>
  </si>
  <si>
    <t xml:space="preserve">11.5</t>
  </si>
  <si>
    <t xml:space="preserve">Medición, conteo y pesaje</t>
  </si>
  <si>
    <t xml:space="preserve">Modalidad de captura y tolerancias</t>
  </si>
  <si>
    <t xml:space="preserve">11.6</t>
  </si>
  <si>
    <t xml:space="preserve">Integraciones y claves API</t>
  </si>
  <si>
    <t xml:space="preserve">Tokens, webhooks y credenciales de terceros</t>
  </si>
  <si>
    <t xml:space="preserve">11.7</t>
  </si>
  <si>
    <t xml:space="preserve">Monitor de integraciones</t>
  </si>
  <si>
    <t xml:space="preserve">Estado, errores y reproceso de mensajes</t>
  </si>
  <si>
    <t xml:space="preserve">11.8</t>
  </si>
  <si>
    <t xml:space="preserve">Reglas de negocio</t>
  </si>
  <si>
    <t xml:space="preserve">FIFO/FEFO, rezago, asignación de bodega, backorder, valorización</t>
  </si>
  <si>
    <t xml:space="preserve">ADM, GER</t>
  </si>
  <si>
    <t xml:space="preserve">11.9</t>
  </si>
  <si>
    <t xml:space="preserve">Notificaciones</t>
  </si>
  <si>
    <t xml:space="preserve">Plantillas y destinatarios por evento</t>
  </si>
  <si>
    <t xml:space="preserve">11.10</t>
  </si>
  <si>
    <t xml:space="preserve">Documentos fiscales</t>
  </si>
  <si>
    <t xml:space="preserve">Formatos legales según país</t>
  </si>
  <si>
    <t xml:space="preserve">Total pantallas</t>
  </si>
  <si>
    <t xml:space="preserve">Leyenda de roles en la hoja 'Roles'. Código = Módulo.Pantalla. Pantallas de picking, putaway y conteo ciego (3.4, 7.3, 10.5) se diseñan para móvil.</t>
  </si>
  <si>
    <t xml:space="preserve">CAL</t>
  </si>
  <si>
    <t xml:space="preserve">AUD</t>
  </si>
  <si>
    <t xml:space="preserve">GER</t>
  </si>
  <si>
    <t xml:space="preserve">Pantallas por rol</t>
  </si>
  <si>
    <t xml:space="preserve">Se genera automáticamente desde la columna Roles de la hoja 'Menú y Pantallas'. Para 4.1 ('Todos según permisos') se marcan todos los roles.</t>
  </si>
  <si>
    <t xml:space="preserve">Rol</t>
  </si>
  <si>
    <t xml:space="preserve">Pantallas asignadas</t>
  </si>
  <si>
    <t xml:space="preserve">Administrador</t>
  </si>
  <si>
    <t xml:space="preserve">Configura el sistema, usuarios, integraciones y parámetros globales</t>
  </si>
  <si>
    <t xml:space="preserve">Jefe de Bodega</t>
  </si>
  <si>
    <t xml:space="preserve">Supervisa la operación de la bodega y aprueba traspasos, ajustes y bajas</t>
  </si>
  <si>
    <t xml:space="preserve">Operario de recepción</t>
  </si>
  <si>
    <t xml:space="preserve">Recibe mercancía, ejecuta putaway y conteos</t>
  </si>
  <si>
    <t xml:space="preserve">Operario de picking</t>
  </si>
  <si>
    <t xml:space="preserve">Recolecta pedidos en terminal móvil</t>
  </si>
  <si>
    <t xml:space="preserve">Operario de packing</t>
  </si>
  <si>
    <t xml:space="preserve">Empaca, pesa, etiqueta y entrega en muelle</t>
  </si>
  <si>
    <t xml:space="preserve">Inspector de calidad</t>
  </si>
  <si>
    <t xml:space="preserve">Inspecciona, bloquea y libera mercancía</t>
  </si>
  <si>
    <t xml:space="preserve">Auditor</t>
  </si>
  <si>
    <t xml:space="preserve">Controla conteos, ajustes, bajas y trazabilidad</t>
  </si>
  <si>
    <t xml:space="preserve">Comprador</t>
  </si>
  <si>
    <t xml:space="preserve">Gestiona necesidad de compra, OC y proveedores</t>
  </si>
  <si>
    <t xml:space="preserve">Coordinador de transporte</t>
  </si>
  <si>
    <t xml:space="preserve">Gestiona transportistas, guías, tracking y excepciones de entrega (rol nuevo)</t>
  </si>
  <si>
    <t xml:space="preserve">Gerencia</t>
  </si>
  <si>
    <t xml:space="preserve">Solo lectura, con aprobaciones de montos mayores</t>
  </si>
  <si>
    <t xml:space="preserve">Nº de pantallas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</si>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</sst>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70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2" t="s">
        <v>7</v>
      </c>
      <c r="D2" s="3" t="s">
        <v>8</v>
      </c>
      <c r="E2" s="3" t="s">
        <v>9</v>
      </c>
      <c r="F2" s="3" t="s">
        <v>10</v>
      </c>
    </row>
    <row r="3" customFormat="false" ht="15" hidden="false" customHeight="false" outlineLevel="0" collapsed="false">
      <c r="A3" s="2" t="n">
        <v>1</v>
      </c>
      <c r="B3" s="3" t="s">
        <v>6</v>
      </c>
      <c r="C3" s="2" t="s">
        <v>11</v>
      </c>
      <c r="D3" s="3" t="s">
        <v>12</v>
      </c>
      <c r="E3" s="3" t="s">
        <v>13</v>
      </c>
      <c r="F3" s="3" t="s">
        <v>14</v>
      </c>
    </row>
    <row r="4" customFormat="false" ht="15" hidden="false" customHeight="false" outlineLevel="0" collapsed="false">
      <c r="A4" s="2" t="n">
        <v>1</v>
      </c>
      <c r="B4" s="3" t="s">
        <v>6</v>
      </c>
      <c r="C4" s="2" t="s">
        <v>15</v>
      </c>
      <c r="D4" s="3" t="s">
        <v>16</v>
      </c>
      <c r="E4" s="3" t="s">
        <v>17</v>
      </c>
      <c r="F4" s="3" t="s">
        <v>18</v>
      </c>
    </row>
    <row r="5" customFormat="false" ht="15" hidden="false" customHeight="false" outlineLevel="0" collapsed="false">
      <c r="A5" s="2" t="n">
        <v>2</v>
      </c>
      <c r="B5" s="3" t="s">
        <v>19</v>
      </c>
      <c r="C5" s="2" t="s">
        <v>20</v>
      </c>
      <c r="D5" s="3" t="s">
        <v>21</v>
      </c>
      <c r="E5" s="3" t="s">
        <v>22</v>
      </c>
      <c r="F5" s="3" t="s">
        <v>23</v>
      </c>
    </row>
    <row r="6" customFormat="false" ht="15" hidden="false" customHeight="false" outlineLevel="0" collapsed="false">
      <c r="A6" s="2" t="n">
        <v>2</v>
      </c>
      <c r="B6" s="3" t="s">
        <v>19</v>
      </c>
      <c r="C6" s="2" t="s">
        <v>24</v>
      </c>
      <c r="D6" s="3" t="s">
        <v>25</v>
      </c>
      <c r="E6" s="3" t="s">
        <v>26</v>
      </c>
      <c r="F6" s="3" t="s">
        <v>27</v>
      </c>
    </row>
    <row r="7" customFormat="false" ht="15" hidden="false" customHeight="false" outlineLevel="0" collapsed="false">
      <c r="A7" s="2" t="n">
        <v>2</v>
      </c>
      <c r="B7" s="3" t="s">
        <v>19</v>
      </c>
      <c r="C7" s="2" t="s">
        <v>28</v>
      </c>
      <c r="D7" s="3" t="s">
        <v>29</v>
      </c>
      <c r="E7" s="3" t="s">
        <v>30</v>
      </c>
      <c r="F7" s="3" t="s">
        <v>31</v>
      </c>
    </row>
    <row r="8" customFormat="false" ht="15" hidden="false" customHeight="false" outlineLevel="0" collapsed="false">
      <c r="A8" s="2" t="n">
        <v>2</v>
      </c>
      <c r="B8" s="3" t="s">
        <v>19</v>
      </c>
      <c r="C8" s="2" t="s">
        <v>32</v>
      </c>
      <c r="D8" s="3" t="s">
        <v>33</v>
      </c>
      <c r="E8" s="3" t="s">
        <v>34</v>
      </c>
      <c r="F8" s="3" t="s">
        <v>31</v>
      </c>
    </row>
    <row r="9" customFormat="false" ht="15" hidden="false" customHeight="false" outlineLevel="0" collapsed="false">
      <c r="A9" s="2" t="n">
        <v>2</v>
      </c>
      <c r="B9" s="3" t="s">
        <v>19</v>
      </c>
      <c r="C9" s="2" t="s">
        <v>35</v>
      </c>
      <c r="D9" s="3" t="s">
        <v>36</v>
      </c>
      <c r="E9" s="3" t="s">
        <v>37</v>
      </c>
      <c r="F9" s="3" t="s">
        <v>38</v>
      </c>
    </row>
    <row r="10" customFormat="false" ht="15" hidden="false" customHeight="false" outlineLevel="0" collapsed="false">
      <c r="A10" s="2" t="n">
        <v>3</v>
      </c>
      <c r="B10" s="3" t="s">
        <v>39</v>
      </c>
      <c r="C10" s="2" t="s">
        <v>40</v>
      </c>
      <c r="D10" s="3" t="s">
        <v>41</v>
      </c>
      <c r="E10" s="3" t="s">
        <v>42</v>
      </c>
      <c r="F10" s="3" t="s">
        <v>43</v>
      </c>
    </row>
    <row r="11" customFormat="false" ht="15" hidden="false" customHeight="false" outlineLevel="0" collapsed="false">
      <c r="A11" s="2" t="n">
        <v>3</v>
      </c>
      <c r="B11" s="3" t="s">
        <v>39</v>
      </c>
      <c r="C11" s="2" t="s">
        <v>44</v>
      </c>
      <c r="D11" s="3" t="s">
        <v>45</v>
      </c>
      <c r="E11" s="3" t="s">
        <v>46</v>
      </c>
      <c r="F11" s="3" t="s">
        <v>47</v>
      </c>
    </row>
    <row r="12" customFormat="false" ht="15" hidden="false" customHeight="false" outlineLevel="0" collapsed="false">
      <c r="A12" s="2" t="n">
        <v>3</v>
      </c>
      <c r="B12" s="3" t="s">
        <v>39</v>
      </c>
      <c r="C12" s="2" t="s">
        <v>48</v>
      </c>
      <c r="D12" s="3" t="s">
        <v>49</v>
      </c>
      <c r="E12" s="3" t="s">
        <v>50</v>
      </c>
      <c r="F12" s="3" t="s">
        <v>51</v>
      </c>
    </row>
    <row r="13" customFormat="false" ht="15" hidden="false" customHeight="false" outlineLevel="0" collapsed="false">
      <c r="A13" s="2" t="n">
        <v>3</v>
      </c>
      <c r="B13" s="3" t="s">
        <v>39</v>
      </c>
      <c r="C13" s="2" t="s">
        <v>52</v>
      </c>
      <c r="D13" s="3" t="s">
        <v>53</v>
      </c>
      <c r="E13" s="3" t="s">
        <v>54</v>
      </c>
      <c r="F13" s="3" t="s">
        <v>55</v>
      </c>
    </row>
    <row r="14" customFormat="false" ht="15" hidden="false" customHeight="false" outlineLevel="0" collapsed="false">
      <c r="A14" s="2" t="n">
        <v>3</v>
      </c>
      <c r="B14" s="3" t="s">
        <v>39</v>
      </c>
      <c r="C14" s="2" t="s">
        <v>56</v>
      </c>
      <c r="D14" s="3" t="s">
        <v>57</v>
      </c>
      <c r="E14" s="3" t="s">
        <v>58</v>
      </c>
      <c r="F14" s="3" t="s">
        <v>47</v>
      </c>
    </row>
    <row r="15" customFormat="false" ht="15" hidden="false" customHeight="false" outlineLevel="0" collapsed="false">
      <c r="A15" s="2" t="n">
        <v>3</v>
      </c>
      <c r="B15" s="3" t="s">
        <v>39</v>
      </c>
      <c r="C15" s="2" t="s">
        <v>59</v>
      </c>
      <c r="D15" s="3" t="s">
        <v>60</v>
      </c>
      <c r="E15" s="3" t="s">
        <v>61</v>
      </c>
      <c r="F15" s="3" t="s">
        <v>62</v>
      </c>
    </row>
    <row r="16" customFormat="false" ht="15" hidden="false" customHeight="false" outlineLevel="0" collapsed="false">
      <c r="A16" s="2" t="n">
        <v>4</v>
      </c>
      <c r="B16" s="3" t="s">
        <v>63</v>
      </c>
      <c r="C16" s="2" t="s">
        <v>64</v>
      </c>
      <c r="D16" s="3" t="s">
        <v>65</v>
      </c>
      <c r="E16" s="3" t="s">
        <v>66</v>
      </c>
      <c r="F16" s="3" t="s">
        <v>67</v>
      </c>
    </row>
    <row r="17" customFormat="false" ht="15" hidden="false" customHeight="false" outlineLevel="0" collapsed="false">
      <c r="A17" s="2" t="n">
        <v>4</v>
      </c>
      <c r="B17" s="3" t="s">
        <v>63</v>
      </c>
      <c r="C17" s="2" t="s">
        <v>68</v>
      </c>
      <c r="D17" s="3" t="s">
        <v>69</v>
      </c>
      <c r="E17" s="3" t="s">
        <v>70</v>
      </c>
      <c r="F17" s="3" t="s">
        <v>71</v>
      </c>
    </row>
    <row r="18" customFormat="false" ht="15" hidden="false" customHeight="false" outlineLevel="0" collapsed="false">
      <c r="A18" s="2" t="n">
        <v>4</v>
      </c>
      <c r="B18" s="3" t="s">
        <v>63</v>
      </c>
      <c r="C18" s="2" t="s">
        <v>72</v>
      </c>
      <c r="D18" s="3" t="s">
        <v>73</v>
      </c>
      <c r="E18" s="3" t="s">
        <v>74</v>
      </c>
      <c r="F18" s="3" t="s">
        <v>75</v>
      </c>
    </row>
    <row r="19" customFormat="false" ht="15" hidden="false" customHeight="false" outlineLevel="0" collapsed="false">
      <c r="A19" s="2" t="n">
        <v>4</v>
      </c>
      <c r="B19" s="3" t="s">
        <v>63</v>
      </c>
      <c r="C19" s="2" t="s">
        <v>76</v>
      </c>
      <c r="D19" s="3" t="s">
        <v>77</v>
      </c>
      <c r="E19" s="3" t="s">
        <v>78</v>
      </c>
      <c r="F19" s="3" t="s">
        <v>79</v>
      </c>
    </row>
    <row r="20" customFormat="false" ht="15" hidden="false" customHeight="false" outlineLevel="0" collapsed="false">
      <c r="A20" s="2" t="n">
        <v>4</v>
      </c>
      <c r="B20" s="3" t="s">
        <v>63</v>
      </c>
      <c r="C20" s="2" t="s">
        <v>80</v>
      </c>
      <c r="D20" s="3" t="s">
        <v>81</v>
      </c>
      <c r="E20" s="3" t="s">
        <v>82</v>
      </c>
      <c r="F20" s="3" t="s">
        <v>83</v>
      </c>
    </row>
    <row r="21" customFormat="false" ht="15" hidden="false" customHeight="false" outlineLevel="0" collapsed="false">
      <c r="A21" s="2" t="n">
        <v>4</v>
      </c>
      <c r="B21" s="3" t="s">
        <v>63</v>
      </c>
      <c r="C21" s="2" t="s">
        <v>84</v>
      </c>
      <c r="D21" s="3" t="s">
        <v>85</v>
      </c>
      <c r="E21" s="3" t="s">
        <v>86</v>
      </c>
      <c r="F21" s="3" t="s">
        <v>79</v>
      </c>
    </row>
    <row r="22" customFormat="false" ht="15" hidden="false" customHeight="false" outlineLevel="0" collapsed="false">
      <c r="A22" s="2" t="n">
        <v>4</v>
      </c>
      <c r="B22" s="3" t="s">
        <v>63</v>
      </c>
      <c r="C22" s="2" t="s">
        <v>87</v>
      </c>
      <c r="D22" s="3" t="s">
        <v>88</v>
      </c>
      <c r="E22" s="3" t="s">
        <v>89</v>
      </c>
      <c r="F22" s="3" t="s">
        <v>90</v>
      </c>
    </row>
    <row r="23" customFormat="false" ht="15" hidden="false" customHeight="false" outlineLevel="0" collapsed="false">
      <c r="A23" s="2" t="n">
        <v>5</v>
      </c>
      <c r="B23" s="3" t="s">
        <v>91</v>
      </c>
      <c r="C23" s="2" t="s">
        <v>92</v>
      </c>
      <c r="D23" s="3" t="s">
        <v>93</v>
      </c>
      <c r="E23" s="3" t="s">
        <v>94</v>
      </c>
      <c r="F23" s="3" t="s">
        <v>95</v>
      </c>
    </row>
    <row r="24" customFormat="false" ht="15" hidden="false" customHeight="false" outlineLevel="0" collapsed="false">
      <c r="A24" s="2" t="n">
        <v>5</v>
      </c>
      <c r="B24" s="3" t="s">
        <v>91</v>
      </c>
      <c r="C24" s="2" t="s">
        <v>96</v>
      </c>
      <c r="D24" s="3" t="s">
        <v>97</v>
      </c>
      <c r="E24" s="3" t="s">
        <v>98</v>
      </c>
      <c r="F24" s="3" t="s">
        <v>95</v>
      </c>
    </row>
    <row r="25" customFormat="false" ht="15" hidden="false" customHeight="false" outlineLevel="0" collapsed="false">
      <c r="A25" s="2" t="n">
        <v>5</v>
      </c>
      <c r="B25" s="3" t="s">
        <v>91</v>
      </c>
      <c r="C25" s="2" t="s">
        <v>99</v>
      </c>
      <c r="D25" s="3" t="s">
        <v>100</v>
      </c>
      <c r="E25" s="3" t="s">
        <v>101</v>
      </c>
      <c r="F25" s="3" t="s">
        <v>62</v>
      </c>
    </row>
    <row r="26" customFormat="false" ht="15" hidden="false" customHeight="false" outlineLevel="0" collapsed="false">
      <c r="A26" s="2" t="n">
        <v>5</v>
      </c>
      <c r="B26" s="3" t="s">
        <v>91</v>
      </c>
      <c r="C26" s="2" t="s">
        <v>102</v>
      </c>
      <c r="D26" s="3" t="s">
        <v>103</v>
      </c>
      <c r="E26" s="3" t="s">
        <v>104</v>
      </c>
      <c r="F26" s="3" t="s">
        <v>105</v>
      </c>
    </row>
    <row r="27" customFormat="false" ht="15" hidden="false" customHeight="false" outlineLevel="0" collapsed="false">
      <c r="A27" s="2" t="n">
        <v>5</v>
      </c>
      <c r="B27" s="3" t="s">
        <v>91</v>
      </c>
      <c r="C27" s="2" t="s">
        <v>106</v>
      </c>
      <c r="D27" s="3" t="s">
        <v>107</v>
      </c>
      <c r="E27" s="3" t="s">
        <v>108</v>
      </c>
      <c r="F27" s="3" t="s">
        <v>27</v>
      </c>
    </row>
    <row r="28" customFormat="false" ht="15" hidden="false" customHeight="false" outlineLevel="0" collapsed="false">
      <c r="A28" s="2" t="n">
        <v>5</v>
      </c>
      <c r="B28" s="3" t="s">
        <v>91</v>
      </c>
      <c r="C28" s="2" t="s">
        <v>109</v>
      </c>
      <c r="D28" s="3" t="s">
        <v>110</v>
      </c>
      <c r="E28" s="3" t="s">
        <v>111</v>
      </c>
      <c r="F28" s="3" t="s">
        <v>27</v>
      </c>
    </row>
    <row r="29" customFormat="false" ht="15" hidden="false" customHeight="false" outlineLevel="0" collapsed="false">
      <c r="A29" s="2" t="n">
        <v>5</v>
      </c>
      <c r="B29" s="3" t="s">
        <v>91</v>
      </c>
      <c r="C29" s="2" t="s">
        <v>112</v>
      </c>
      <c r="D29" s="3" t="s">
        <v>113</v>
      </c>
      <c r="E29" s="3" t="s">
        <v>114</v>
      </c>
      <c r="F29" s="3" t="s">
        <v>31</v>
      </c>
    </row>
    <row r="30" customFormat="false" ht="15" hidden="false" customHeight="false" outlineLevel="0" collapsed="false">
      <c r="A30" s="2" t="n">
        <v>6</v>
      </c>
      <c r="B30" s="3" t="s">
        <v>115</v>
      </c>
      <c r="C30" s="2" t="s">
        <v>116</v>
      </c>
      <c r="D30" s="3" t="s">
        <v>117</v>
      </c>
      <c r="E30" s="3" t="s">
        <v>118</v>
      </c>
      <c r="F30" s="3" t="s">
        <v>119</v>
      </c>
    </row>
    <row r="31" customFormat="false" ht="15" hidden="false" customHeight="false" outlineLevel="0" collapsed="false">
      <c r="A31" s="2" t="n">
        <v>6</v>
      </c>
      <c r="B31" s="3" t="s">
        <v>115</v>
      </c>
      <c r="C31" s="2" t="s">
        <v>120</v>
      </c>
      <c r="D31" s="3" t="s">
        <v>121</v>
      </c>
      <c r="E31" s="3" t="s">
        <v>122</v>
      </c>
      <c r="F31" s="3" t="s">
        <v>123</v>
      </c>
    </row>
    <row r="32" customFormat="false" ht="15" hidden="false" customHeight="false" outlineLevel="0" collapsed="false">
      <c r="A32" s="2" t="n">
        <v>6</v>
      </c>
      <c r="B32" s="3" t="s">
        <v>115</v>
      </c>
      <c r="C32" s="2" t="s">
        <v>124</v>
      </c>
      <c r="D32" s="3" t="s">
        <v>125</v>
      </c>
      <c r="E32" s="3" t="s">
        <v>126</v>
      </c>
      <c r="F32" s="3" t="s">
        <v>127</v>
      </c>
    </row>
    <row r="33" customFormat="false" ht="15" hidden="false" customHeight="false" outlineLevel="0" collapsed="false">
      <c r="A33" s="2" t="n">
        <v>6</v>
      </c>
      <c r="B33" s="3" t="s">
        <v>115</v>
      </c>
      <c r="C33" s="2" t="s">
        <v>128</v>
      </c>
      <c r="D33" s="3" t="s">
        <v>129</v>
      </c>
      <c r="E33" s="3" t="s">
        <v>130</v>
      </c>
      <c r="F33" s="3" t="s">
        <v>119</v>
      </c>
    </row>
    <row r="34" customFormat="false" ht="15" hidden="false" customHeight="false" outlineLevel="0" collapsed="false">
      <c r="A34" s="2" t="n">
        <v>6</v>
      </c>
      <c r="B34" s="3" t="s">
        <v>115</v>
      </c>
      <c r="C34" s="2" t="s">
        <v>131</v>
      </c>
      <c r="D34" s="3" t="s">
        <v>132</v>
      </c>
      <c r="E34" s="3" t="s">
        <v>133</v>
      </c>
      <c r="F34" s="3" t="s">
        <v>134</v>
      </c>
    </row>
    <row r="35" customFormat="false" ht="15" hidden="false" customHeight="false" outlineLevel="0" collapsed="false">
      <c r="A35" s="2" t="n">
        <v>7</v>
      </c>
      <c r="B35" s="3" t="s">
        <v>135</v>
      </c>
      <c r="C35" s="2" t="s">
        <v>136</v>
      </c>
      <c r="D35" s="3" t="s">
        <v>137</v>
      </c>
      <c r="E35" s="3" t="s">
        <v>138</v>
      </c>
      <c r="F35" s="3" t="s">
        <v>105</v>
      </c>
    </row>
    <row r="36" customFormat="false" ht="15" hidden="false" customHeight="false" outlineLevel="0" collapsed="false">
      <c r="A36" s="2" t="n">
        <v>7</v>
      </c>
      <c r="B36" s="3" t="s">
        <v>135</v>
      </c>
      <c r="C36" s="2" t="s">
        <v>139</v>
      </c>
      <c r="D36" s="3" t="s">
        <v>140</v>
      </c>
      <c r="E36" s="3" t="s">
        <v>141</v>
      </c>
      <c r="F36" s="3" t="s">
        <v>105</v>
      </c>
    </row>
    <row r="37" customFormat="false" ht="15" hidden="false" customHeight="false" outlineLevel="0" collapsed="false">
      <c r="A37" s="2" t="n">
        <v>7</v>
      </c>
      <c r="B37" s="3" t="s">
        <v>135</v>
      </c>
      <c r="C37" s="2" t="s">
        <v>142</v>
      </c>
      <c r="D37" s="3" t="s">
        <v>143</v>
      </c>
      <c r="E37" s="3" t="s">
        <v>144</v>
      </c>
      <c r="F37" s="3" t="s">
        <v>145</v>
      </c>
    </row>
    <row r="38" customFormat="false" ht="15" hidden="false" customHeight="false" outlineLevel="0" collapsed="false">
      <c r="A38" s="2" t="n">
        <v>7</v>
      </c>
      <c r="B38" s="3" t="s">
        <v>135</v>
      </c>
      <c r="C38" s="2" t="s">
        <v>146</v>
      </c>
      <c r="D38" s="3" t="s">
        <v>147</v>
      </c>
      <c r="E38" s="3" t="s">
        <v>148</v>
      </c>
      <c r="F38" s="3" t="s">
        <v>149</v>
      </c>
    </row>
    <row r="39" customFormat="false" ht="15" hidden="false" customHeight="false" outlineLevel="0" collapsed="false">
      <c r="A39" s="2" t="n">
        <v>7</v>
      </c>
      <c r="B39" s="3" t="s">
        <v>135</v>
      </c>
      <c r="C39" s="2" t="s">
        <v>150</v>
      </c>
      <c r="D39" s="3" t="s">
        <v>151</v>
      </c>
      <c r="E39" s="3" t="s">
        <v>152</v>
      </c>
      <c r="F39" s="3" t="s">
        <v>153</v>
      </c>
    </row>
    <row r="40" customFormat="false" ht="15" hidden="false" customHeight="false" outlineLevel="0" collapsed="false">
      <c r="A40" s="2" t="n">
        <v>7</v>
      </c>
      <c r="B40" s="3" t="s">
        <v>135</v>
      </c>
      <c r="C40" s="2" t="s">
        <v>154</v>
      </c>
      <c r="D40" s="3" t="s">
        <v>155</v>
      </c>
      <c r="E40" s="3" t="s">
        <v>156</v>
      </c>
      <c r="F40" s="3" t="s">
        <v>157</v>
      </c>
    </row>
    <row r="41" customFormat="false" ht="15" hidden="false" customHeight="false" outlineLevel="0" collapsed="false">
      <c r="A41" s="2" t="n">
        <v>8</v>
      </c>
      <c r="B41" s="3" t="s">
        <v>158</v>
      </c>
      <c r="C41" s="2" t="s">
        <v>159</v>
      </c>
      <c r="D41" s="3" t="s">
        <v>160</v>
      </c>
      <c r="E41" s="3" t="s">
        <v>161</v>
      </c>
      <c r="F41" s="3" t="s">
        <v>162</v>
      </c>
    </row>
    <row r="42" customFormat="false" ht="15" hidden="false" customHeight="false" outlineLevel="0" collapsed="false">
      <c r="A42" s="2" t="n">
        <v>8</v>
      </c>
      <c r="B42" s="3" t="s">
        <v>158</v>
      </c>
      <c r="C42" s="2" t="s">
        <v>163</v>
      </c>
      <c r="D42" s="3" t="s">
        <v>164</v>
      </c>
      <c r="E42" s="3" t="s">
        <v>165</v>
      </c>
      <c r="F42" s="3" t="s">
        <v>162</v>
      </c>
    </row>
    <row r="43" customFormat="false" ht="15" hidden="false" customHeight="false" outlineLevel="0" collapsed="false">
      <c r="A43" s="2" t="n">
        <v>8</v>
      </c>
      <c r="B43" s="3" t="s">
        <v>158</v>
      </c>
      <c r="C43" s="2" t="s">
        <v>166</v>
      </c>
      <c r="D43" s="3" t="s">
        <v>167</v>
      </c>
      <c r="E43" s="3" t="s">
        <v>168</v>
      </c>
      <c r="F43" s="3" t="s">
        <v>169</v>
      </c>
    </row>
    <row r="44" customFormat="false" ht="15" hidden="false" customHeight="false" outlineLevel="0" collapsed="false">
      <c r="A44" s="2" t="n">
        <v>8</v>
      </c>
      <c r="B44" s="3" t="s">
        <v>158</v>
      </c>
      <c r="C44" s="2" t="s">
        <v>170</v>
      </c>
      <c r="D44" s="3" t="s">
        <v>171</v>
      </c>
      <c r="E44" s="3" t="s">
        <v>172</v>
      </c>
      <c r="F44" s="3" t="s">
        <v>173</v>
      </c>
    </row>
    <row r="45" customFormat="false" ht="15" hidden="false" customHeight="false" outlineLevel="0" collapsed="false">
      <c r="A45" s="2" t="n">
        <v>8</v>
      </c>
      <c r="B45" s="3" t="s">
        <v>158</v>
      </c>
      <c r="C45" s="2" t="s">
        <v>174</v>
      </c>
      <c r="D45" s="3" t="s">
        <v>175</v>
      </c>
      <c r="E45" s="3" t="s">
        <v>176</v>
      </c>
      <c r="F45" s="3" t="s">
        <v>177</v>
      </c>
    </row>
    <row r="46" customFormat="false" ht="15" hidden="false" customHeight="false" outlineLevel="0" collapsed="false">
      <c r="A46" s="2" t="n">
        <v>8</v>
      </c>
      <c r="B46" s="3" t="s">
        <v>158</v>
      </c>
      <c r="C46" s="2" t="s">
        <v>178</v>
      </c>
      <c r="D46" s="3" t="s">
        <v>179</v>
      </c>
      <c r="E46" s="3" t="s">
        <v>180</v>
      </c>
      <c r="F46" s="3" t="s">
        <v>181</v>
      </c>
    </row>
    <row r="47" customFormat="false" ht="15" hidden="false" customHeight="false" outlineLevel="0" collapsed="false">
      <c r="A47" s="2" t="n">
        <v>8</v>
      </c>
      <c r="B47" s="3" t="s">
        <v>158</v>
      </c>
      <c r="C47" s="2" t="s">
        <v>182</v>
      </c>
      <c r="D47" s="3" t="s">
        <v>183</v>
      </c>
      <c r="E47" s="3" t="s">
        <v>184</v>
      </c>
      <c r="F47" s="3" t="s">
        <v>185</v>
      </c>
    </row>
    <row r="48" customFormat="false" ht="15" hidden="false" customHeight="false" outlineLevel="0" collapsed="false">
      <c r="A48" s="2" t="n">
        <v>9</v>
      </c>
      <c r="B48" s="3" t="s">
        <v>186</v>
      </c>
      <c r="C48" s="2" t="s">
        <v>187</v>
      </c>
      <c r="D48" s="3" t="s">
        <v>188</v>
      </c>
      <c r="E48" s="3" t="s">
        <v>189</v>
      </c>
      <c r="F48" s="3" t="s">
        <v>71</v>
      </c>
    </row>
    <row r="49" customFormat="false" ht="15" hidden="false" customHeight="false" outlineLevel="0" collapsed="false">
      <c r="A49" s="2" t="n">
        <v>9</v>
      </c>
      <c r="B49" s="3" t="s">
        <v>186</v>
      </c>
      <c r="C49" s="2" t="s">
        <v>190</v>
      </c>
      <c r="D49" s="3" t="s">
        <v>191</v>
      </c>
      <c r="E49" s="3" t="s">
        <v>192</v>
      </c>
      <c r="F49" s="3" t="s">
        <v>55</v>
      </c>
    </row>
    <row r="50" customFormat="false" ht="15" hidden="false" customHeight="false" outlineLevel="0" collapsed="false">
      <c r="A50" s="2" t="n">
        <v>9</v>
      </c>
      <c r="B50" s="3" t="s">
        <v>186</v>
      </c>
      <c r="C50" s="2" t="s">
        <v>193</v>
      </c>
      <c r="D50" s="3" t="s">
        <v>194</v>
      </c>
      <c r="E50" s="3" t="s">
        <v>195</v>
      </c>
      <c r="F50" s="3" t="s">
        <v>51</v>
      </c>
    </row>
    <row r="51" customFormat="false" ht="15" hidden="false" customHeight="false" outlineLevel="0" collapsed="false">
      <c r="A51" s="2" t="n">
        <v>9</v>
      </c>
      <c r="B51" s="3" t="s">
        <v>186</v>
      </c>
      <c r="C51" s="2" t="s">
        <v>196</v>
      </c>
      <c r="D51" s="3" t="s">
        <v>197</v>
      </c>
      <c r="E51" s="3" t="s">
        <v>198</v>
      </c>
      <c r="F51" s="3" t="s">
        <v>199</v>
      </c>
    </row>
    <row r="52" customFormat="false" ht="15" hidden="false" customHeight="false" outlineLevel="0" collapsed="false">
      <c r="A52" s="2" t="n">
        <v>10</v>
      </c>
      <c r="B52" s="3" t="s">
        <v>200</v>
      </c>
      <c r="C52" s="2" t="s">
        <v>201</v>
      </c>
      <c r="D52" s="3" t="s">
        <v>202</v>
      </c>
      <c r="E52" s="3" t="s">
        <v>203</v>
      </c>
      <c r="F52" s="3" t="s">
        <v>75</v>
      </c>
    </row>
    <row r="53" customFormat="false" ht="15" hidden="false" customHeight="false" outlineLevel="0" collapsed="false">
      <c r="A53" s="2" t="n">
        <v>10</v>
      </c>
      <c r="B53" s="3" t="s">
        <v>200</v>
      </c>
      <c r="C53" s="2" t="s">
        <v>204</v>
      </c>
      <c r="D53" s="3" t="s">
        <v>205</v>
      </c>
      <c r="E53" s="3" t="s">
        <v>206</v>
      </c>
      <c r="F53" s="3" t="s">
        <v>38</v>
      </c>
    </row>
    <row r="54" customFormat="false" ht="15" hidden="false" customHeight="false" outlineLevel="0" collapsed="false">
      <c r="A54" s="2" t="n">
        <v>10</v>
      </c>
      <c r="B54" s="3" t="s">
        <v>200</v>
      </c>
      <c r="C54" s="2" t="s">
        <v>207</v>
      </c>
      <c r="D54" s="3" t="s">
        <v>208</v>
      </c>
      <c r="E54" s="3" t="s">
        <v>209</v>
      </c>
      <c r="F54" s="3" t="s">
        <v>210</v>
      </c>
    </row>
    <row r="55" customFormat="false" ht="15" hidden="false" customHeight="false" outlineLevel="0" collapsed="false">
      <c r="A55" s="2" t="n">
        <v>10</v>
      </c>
      <c r="B55" s="3" t="s">
        <v>200</v>
      </c>
      <c r="C55" s="2" t="s">
        <v>211</v>
      </c>
      <c r="D55" s="3" t="s">
        <v>212</v>
      </c>
      <c r="E55" s="3" t="s">
        <v>213</v>
      </c>
      <c r="F55" s="3" t="s">
        <v>214</v>
      </c>
    </row>
    <row r="56" customFormat="false" ht="15" hidden="false" customHeight="false" outlineLevel="0" collapsed="false">
      <c r="A56" s="2" t="n">
        <v>10</v>
      </c>
      <c r="B56" s="3" t="s">
        <v>200</v>
      </c>
      <c r="C56" s="2" t="s">
        <v>215</v>
      </c>
      <c r="D56" s="3" t="s">
        <v>216</v>
      </c>
      <c r="E56" s="3" t="s">
        <v>217</v>
      </c>
      <c r="F56" s="3" t="s">
        <v>218</v>
      </c>
    </row>
    <row r="57" customFormat="false" ht="15" hidden="false" customHeight="false" outlineLevel="0" collapsed="false">
      <c r="A57" s="2" t="n">
        <v>10</v>
      </c>
      <c r="B57" s="3" t="s">
        <v>200</v>
      </c>
      <c r="C57" s="2" t="s">
        <v>219</v>
      </c>
      <c r="D57" s="3" t="s">
        <v>220</v>
      </c>
      <c r="E57" s="3" t="s">
        <v>221</v>
      </c>
      <c r="F57" s="3" t="s">
        <v>222</v>
      </c>
    </row>
    <row r="58" customFormat="false" ht="15" hidden="false" customHeight="false" outlineLevel="0" collapsed="false">
      <c r="A58" s="2" t="n">
        <v>10</v>
      </c>
      <c r="B58" s="3" t="s">
        <v>200</v>
      </c>
      <c r="C58" s="2" t="s">
        <v>223</v>
      </c>
      <c r="D58" s="3" t="s">
        <v>224</v>
      </c>
      <c r="E58" s="3" t="s">
        <v>225</v>
      </c>
      <c r="F58" s="3" t="s">
        <v>51</v>
      </c>
    </row>
    <row r="59" customFormat="false" ht="15" hidden="false" customHeight="false" outlineLevel="0" collapsed="false">
      <c r="A59" s="2" t="n">
        <v>11</v>
      </c>
      <c r="B59" s="3" t="s">
        <v>226</v>
      </c>
      <c r="C59" s="2" t="s">
        <v>227</v>
      </c>
      <c r="D59" s="3" t="s">
        <v>228</v>
      </c>
      <c r="E59" s="3" t="s">
        <v>229</v>
      </c>
      <c r="F59" s="3" t="s">
        <v>27</v>
      </c>
    </row>
    <row r="60" customFormat="false" ht="15" hidden="false" customHeight="false" outlineLevel="0" collapsed="false">
      <c r="A60" s="2" t="n">
        <v>11</v>
      </c>
      <c r="B60" s="3" t="s">
        <v>226</v>
      </c>
      <c r="C60" s="2" t="s">
        <v>230</v>
      </c>
      <c r="D60" s="3" t="s">
        <v>231</v>
      </c>
      <c r="E60" s="3" t="s">
        <v>232</v>
      </c>
      <c r="F60" s="3" t="s">
        <v>233</v>
      </c>
    </row>
    <row r="61" customFormat="false" ht="15" hidden="false" customHeight="false" outlineLevel="0" collapsed="false">
      <c r="A61" s="2" t="n">
        <v>11</v>
      </c>
      <c r="B61" s="3" t="s">
        <v>226</v>
      </c>
      <c r="C61" s="2" t="s">
        <v>234</v>
      </c>
      <c r="D61" s="3" t="s">
        <v>235</v>
      </c>
      <c r="E61" s="3" t="s">
        <v>236</v>
      </c>
      <c r="F61" s="3" t="s">
        <v>31</v>
      </c>
    </row>
    <row r="62" customFormat="false" ht="15" hidden="false" customHeight="false" outlineLevel="0" collapsed="false">
      <c r="A62" s="2" t="n">
        <v>11</v>
      </c>
      <c r="B62" s="3" t="s">
        <v>226</v>
      </c>
      <c r="C62" s="2" t="s">
        <v>237</v>
      </c>
      <c r="D62" s="3" t="s">
        <v>238</v>
      </c>
      <c r="E62" s="3" t="s">
        <v>239</v>
      </c>
      <c r="F62" s="3" t="s">
        <v>27</v>
      </c>
    </row>
    <row r="63" customFormat="false" ht="15" hidden="false" customHeight="false" outlineLevel="0" collapsed="false">
      <c r="A63" s="2" t="n">
        <v>11</v>
      </c>
      <c r="B63" s="3" t="s">
        <v>226</v>
      </c>
      <c r="C63" s="2" t="s">
        <v>240</v>
      </c>
      <c r="D63" s="3" t="s">
        <v>241</v>
      </c>
      <c r="E63" s="3" t="s">
        <v>242</v>
      </c>
      <c r="F63" s="3" t="s">
        <v>31</v>
      </c>
    </row>
    <row r="64" customFormat="false" ht="15" hidden="false" customHeight="false" outlineLevel="0" collapsed="false">
      <c r="A64" s="2" t="n">
        <v>11</v>
      </c>
      <c r="B64" s="3" t="s">
        <v>226</v>
      </c>
      <c r="C64" s="2" t="s">
        <v>243</v>
      </c>
      <c r="D64" s="3" t="s">
        <v>244</v>
      </c>
      <c r="E64" s="3" t="s">
        <v>245</v>
      </c>
      <c r="F64" s="3" t="s">
        <v>27</v>
      </c>
    </row>
    <row r="65" customFormat="false" ht="15" hidden="false" customHeight="false" outlineLevel="0" collapsed="false">
      <c r="A65" s="2" t="n">
        <v>11</v>
      </c>
      <c r="B65" s="3" t="s">
        <v>226</v>
      </c>
      <c r="C65" s="2" t="s">
        <v>246</v>
      </c>
      <c r="D65" s="3" t="s">
        <v>247</v>
      </c>
      <c r="E65" s="3" t="s">
        <v>248</v>
      </c>
      <c r="F65" s="3" t="s">
        <v>27</v>
      </c>
    </row>
    <row r="66" customFormat="false" ht="15" hidden="false" customHeight="false" outlineLevel="0" collapsed="false">
      <c r="A66" s="2" t="n">
        <v>11</v>
      </c>
      <c r="B66" s="3" t="s">
        <v>226</v>
      </c>
      <c r="C66" s="2" t="s">
        <v>249</v>
      </c>
      <c r="D66" s="3" t="s">
        <v>250</v>
      </c>
      <c r="E66" s="3" t="s">
        <v>251</v>
      </c>
      <c r="F66" s="3" t="s">
        <v>252</v>
      </c>
    </row>
    <row r="67" customFormat="false" ht="15" hidden="false" customHeight="false" outlineLevel="0" collapsed="false">
      <c r="A67" s="2" t="n">
        <v>11</v>
      </c>
      <c r="B67" s="3" t="s">
        <v>226</v>
      </c>
      <c r="C67" s="2" t="s">
        <v>253</v>
      </c>
      <c r="D67" s="3" t="s">
        <v>254</v>
      </c>
      <c r="E67" s="3" t="s">
        <v>255</v>
      </c>
      <c r="F67" s="3" t="s">
        <v>27</v>
      </c>
    </row>
    <row r="68" customFormat="false" ht="15" hidden="false" customHeight="false" outlineLevel="0" collapsed="false">
      <c r="A68" s="2" t="n">
        <v>11</v>
      </c>
      <c r="B68" s="3" t="s">
        <v>226</v>
      </c>
      <c r="C68" s="2" t="s">
        <v>256</v>
      </c>
      <c r="D68" s="3" t="s">
        <v>257</v>
      </c>
      <c r="E68" s="3" t="s">
        <v>258</v>
      </c>
      <c r="F68" s="3" t="s">
        <v>252</v>
      </c>
    </row>
    <row r="70" customFormat="false" ht="15" hidden="false" customHeight="false" outlineLevel="0" collapsed="false">
      <c r="A70" s="4" t="s">
        <v>259</v>
      </c>
      <c r="D70" s="4" t="n">
        <f aca="false">COUNTA(D2:D68)</f>
        <v>67</v>
      </c>
    </row>
    <row r="71" customFormat="false" ht="15" hidden="false" customHeight="false" outlineLevel="0" collapsed="false">
      <c r="A71" s="5" t="s">
        <v>260</v>
      </c>
    </row>
  </sheetData>
  <autoFilter ref="A1:F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12" min="3" style="0" width="7"/>
  </cols>
  <sheetData>
    <row r="1" customFormat="false" ht="15" hidden="false" customHeight="false" outlineLevel="0" collapsed="false">
      <c r="A1" s="6" t="s">
        <v>2</v>
      </c>
      <c r="B1" s="6" t="s">
        <v>3</v>
      </c>
      <c r="C1" s="6" t="s">
        <v>27</v>
      </c>
      <c r="D1" s="6" t="s">
        <v>105</v>
      </c>
      <c r="E1" s="6" t="s">
        <v>55</v>
      </c>
      <c r="F1" s="6" t="s">
        <v>145</v>
      </c>
      <c r="G1" s="6" t="s">
        <v>149</v>
      </c>
      <c r="H1" s="6" t="s">
        <v>261</v>
      </c>
      <c r="I1" s="6" t="s">
        <v>262</v>
      </c>
      <c r="J1" s="6" t="s">
        <v>127</v>
      </c>
      <c r="K1" s="6" t="s">
        <v>181</v>
      </c>
      <c r="L1" s="6" t="s">
        <v>263</v>
      </c>
    </row>
    <row r="2" customFormat="false" ht="15" hidden="false" customHeight="false" outlineLevel="0" collapsed="false">
      <c r="A2" s="7" t="str">
        <f aca="false">'Menú y Pantallas'!C2</f>
        <v>1.1</v>
      </c>
      <c r="B2" s="8" t="str">
        <f aca="false">'Menú y Pantallas'!D2</f>
        <v>Visión general</v>
      </c>
      <c r="C2" s="9" t="str">
        <f aca="false">IF(OR(ISNUMBER(SEARCH(C$1,'Menú y Pantallas'!$F2)),ISNUMBER(SEARCH("Todos",'Menú y Pantallas'!$F2))),"X","")</f>
        <v>X</v>
      </c>
      <c r="D2" s="9" t="str">
        <f aca="false">IF(OR(ISNUMBER(SEARCH(D$1,'Menú y Pantallas'!$F2)),ISNUMBER(SEARCH("Todos",'Menú y Pantallas'!$F2))),"X","")</f>
        <v>X</v>
      </c>
      <c r="E2" s="9" t="str">
        <f aca="false">IF(OR(ISNUMBER(SEARCH(E$1,'Menú y Pantallas'!$F2)),ISNUMBER(SEARCH("Todos",'Menú y Pantallas'!$F2))),"X","")</f>
        <v/>
      </c>
      <c r="F2" s="9" t="str">
        <f aca="false">IF(OR(ISNUMBER(SEARCH(F$1,'Menú y Pantallas'!$F2)),ISNUMBER(SEARCH("Todos",'Menú y Pantallas'!$F2))),"X","")</f>
        <v/>
      </c>
      <c r="G2" s="9" t="str">
        <f aca="false">IF(OR(ISNUMBER(SEARCH(G$1,'Menú y Pantallas'!$F2)),ISNUMBER(SEARCH("Todos",'Menú y Pantallas'!$F2))),"X","")</f>
        <v/>
      </c>
      <c r="H2" s="9" t="str">
        <f aca="false">IF(OR(ISNUMBER(SEARCH(H$1,'Menú y Pantallas'!$F2)),ISNUMBER(SEARCH("Todos",'Menú y Pantallas'!$F2))),"X","")</f>
        <v/>
      </c>
      <c r="I2" s="9" t="str">
        <f aca="false">IF(OR(ISNUMBER(SEARCH(I$1,'Menú y Pantallas'!$F2)),ISNUMBER(SEARCH("Todos",'Menú y Pantallas'!$F2))),"X","")</f>
        <v/>
      </c>
      <c r="J2" s="9" t="str">
        <f aca="false">IF(OR(ISNUMBER(SEARCH(J$1,'Menú y Pantallas'!$F2)),ISNUMBER(SEARCH("Todos",'Menú y Pantallas'!$F2))),"X","")</f>
        <v/>
      </c>
      <c r="K2" s="9" t="str">
        <f aca="false">IF(OR(ISNUMBER(SEARCH(K$1,'Menú y Pantallas'!$F2)),ISNUMBER(SEARCH("Todos",'Menú y Pantallas'!$F2))),"X","")</f>
        <v/>
      </c>
      <c r="L2" s="9" t="str">
        <f aca="false">IF(OR(ISNUMBER(SEARCH(L$1,'Menú y Pantallas'!$F2)),ISNUMBER(SEARCH("Todos",'Menú y Pantallas'!$F2))),"X","")</f>
        <v>X</v>
      </c>
    </row>
    <row r="3" customFormat="false" ht="15" hidden="false" customHeight="false" outlineLevel="0" collapsed="false">
      <c r="A3" s="7" t="str">
        <f aca="false">'Menú y Pantallas'!C3</f>
        <v>1.2</v>
      </c>
      <c r="B3" s="8" t="str">
        <f aca="false">'Menú y Pantallas'!D3</f>
        <v>KPIs operativos</v>
      </c>
      <c r="C3" s="9" t="str">
        <f aca="false">IF(OR(ISNUMBER(SEARCH(C$1,'Menú y Pantallas'!$F3)),ISNUMBER(SEARCH("Todos",'Menú y Pantallas'!$F3))),"X","")</f>
        <v>X</v>
      </c>
      <c r="D3" s="9" t="str">
        <f aca="false">IF(OR(ISNUMBER(SEARCH(D$1,'Menú y Pantallas'!$F3)),ISNUMBER(SEARCH("Todos",'Menú y Pantallas'!$F3))),"X","")</f>
        <v>X</v>
      </c>
      <c r="E3" s="9" t="str">
        <f aca="false">IF(OR(ISNUMBER(SEARCH(E$1,'Menú y Pantallas'!$F3)),ISNUMBER(SEARCH("Todos",'Menú y Pantallas'!$F3))),"X","")</f>
        <v/>
      </c>
      <c r="F3" s="9" t="str">
        <f aca="false">IF(OR(ISNUMBER(SEARCH(F$1,'Menú y Pantallas'!$F3)),ISNUMBER(SEARCH("Todos",'Menú y Pantallas'!$F3))),"X","")</f>
        <v/>
      </c>
      <c r="G3" s="9" t="str">
        <f aca="false">IF(OR(ISNUMBER(SEARCH(G$1,'Menú y Pantallas'!$F3)),ISNUMBER(SEARCH("Todos",'Menú y Pantallas'!$F3))),"X","")</f>
        <v/>
      </c>
      <c r="H3" s="9" t="str">
        <f aca="false">IF(OR(ISNUMBER(SEARCH(H$1,'Menú y Pantallas'!$F3)),ISNUMBER(SEARCH("Todos",'Menú y Pantallas'!$F3))),"X","")</f>
        <v/>
      </c>
      <c r="I3" s="9" t="str">
        <f aca="false">IF(OR(ISNUMBER(SEARCH(I$1,'Menú y Pantallas'!$F3)),ISNUMBER(SEARCH("Todos",'Menú y Pantallas'!$F3))),"X","")</f>
        <v>X</v>
      </c>
      <c r="J3" s="9" t="str">
        <f aca="false">IF(OR(ISNUMBER(SEARCH(J$1,'Menú y Pantallas'!$F3)),ISNUMBER(SEARCH("Todos",'Menú y Pantallas'!$F3))),"X","")</f>
        <v/>
      </c>
      <c r="K3" s="9" t="str">
        <f aca="false">IF(OR(ISNUMBER(SEARCH(K$1,'Menú y Pantallas'!$F3)),ISNUMBER(SEARCH("Todos",'Menú y Pantallas'!$F3))),"X","")</f>
        <v/>
      </c>
      <c r="L3" s="9" t="str">
        <f aca="false">IF(OR(ISNUMBER(SEARCH(L$1,'Menú y Pantallas'!$F3)),ISNUMBER(SEARCH("Todos",'Menú y Pantallas'!$F3))),"X","")</f>
        <v>X</v>
      </c>
    </row>
    <row r="4" customFormat="false" ht="15" hidden="false" customHeight="false" outlineLevel="0" collapsed="false">
      <c r="A4" s="7" t="str">
        <f aca="false">'Menú y Pantallas'!C4</f>
        <v>1.3</v>
      </c>
      <c r="B4" s="8" t="str">
        <f aca="false">'Menú y Pantallas'!D4</f>
        <v>Alertas y excepciones</v>
      </c>
      <c r="C4" s="9" t="str">
        <f aca="false">IF(OR(ISNUMBER(SEARCH(C$1,'Menú y Pantallas'!$F4)),ISNUMBER(SEARCH("Todos",'Menú y Pantallas'!$F4))),"X","")</f>
        <v>X</v>
      </c>
      <c r="D4" s="9" t="str">
        <f aca="false">IF(OR(ISNUMBER(SEARCH(D$1,'Menú y Pantallas'!$F4)),ISNUMBER(SEARCH("Todos",'Menú y Pantallas'!$F4))),"X","")</f>
        <v>X</v>
      </c>
      <c r="E4" s="9" t="str">
        <f aca="false">IF(OR(ISNUMBER(SEARCH(E$1,'Menú y Pantallas'!$F4)),ISNUMBER(SEARCH("Todos",'Menú y Pantallas'!$F4))),"X","")</f>
        <v/>
      </c>
      <c r="F4" s="9" t="str">
        <f aca="false">IF(OR(ISNUMBER(SEARCH(F$1,'Menú y Pantallas'!$F4)),ISNUMBER(SEARCH("Todos",'Menú y Pantallas'!$F4))),"X","")</f>
        <v/>
      </c>
      <c r="G4" s="9" t="str">
        <f aca="false">IF(OR(ISNUMBER(SEARCH(G$1,'Menú y Pantallas'!$F4)),ISNUMBER(SEARCH("Todos",'Menú y Pantallas'!$F4))),"X","")</f>
        <v/>
      </c>
      <c r="H4" s="9" t="str">
        <f aca="false">IF(OR(ISNUMBER(SEARCH(H$1,'Menú y Pantallas'!$F4)),ISNUMBER(SEARCH("Todos",'Menú y Pantallas'!$F4))),"X","")</f>
        <v/>
      </c>
      <c r="I4" s="9" t="str">
        <f aca="false">IF(OR(ISNUMBER(SEARCH(I$1,'Menú y Pantallas'!$F4)),ISNUMBER(SEARCH("Todos",'Menú y Pantallas'!$F4))),"X","")</f>
        <v/>
      </c>
      <c r="J4" s="9" t="str">
        <f aca="false">IF(OR(ISNUMBER(SEARCH(J$1,'Menú y Pantallas'!$F4)),ISNUMBER(SEARCH("Todos",'Menú y Pantallas'!$F4))),"X","")</f>
        <v>X</v>
      </c>
      <c r="K4" s="9" t="str">
        <f aca="false">IF(OR(ISNUMBER(SEARCH(K$1,'Menú y Pantallas'!$F4)),ISNUMBER(SEARCH("Todos",'Menú y Pantallas'!$F4))),"X","")</f>
        <v>X</v>
      </c>
      <c r="L4" s="9" t="str">
        <f aca="false">IF(OR(ISNUMBER(SEARCH(L$1,'Menú y Pantallas'!$F4)),ISNUMBER(SEARCH("Todos",'Menú y Pantallas'!$F4))),"X","")</f>
        <v/>
      </c>
    </row>
    <row r="5" customFormat="false" ht="15" hidden="false" customHeight="false" outlineLevel="0" collapsed="false">
      <c r="A5" s="7" t="str">
        <f aca="false">'Menú y Pantallas'!C5</f>
        <v>2.1</v>
      </c>
      <c r="B5" s="8" t="str">
        <f aca="false">'Menú y Pantallas'!D5</f>
        <v>Consolidado Cuenta Padre</v>
      </c>
      <c r="C5" s="9" t="str">
        <f aca="false">IF(OR(ISNUMBER(SEARCH(C$1,'Menú y Pantallas'!$F5)),ISNUMBER(SEARCH("Todos",'Menú y Pantallas'!$F5))),"X","")</f>
        <v>X</v>
      </c>
      <c r="D5" s="9" t="str">
        <f aca="false">IF(OR(ISNUMBER(SEARCH(D$1,'Menú y Pantallas'!$F5)),ISNUMBER(SEARCH("Todos",'Menú y Pantallas'!$F5))),"X","")</f>
        <v>X</v>
      </c>
      <c r="E5" s="9" t="str">
        <f aca="false">IF(OR(ISNUMBER(SEARCH(E$1,'Menú y Pantallas'!$F5)),ISNUMBER(SEARCH("Todos",'Menú y Pantallas'!$F5))),"X","")</f>
        <v/>
      </c>
      <c r="F5" s="9" t="str">
        <f aca="false">IF(OR(ISNUMBER(SEARCH(F$1,'Menú y Pantallas'!$F5)),ISNUMBER(SEARCH("Todos",'Menú y Pantallas'!$F5))),"X","")</f>
        <v/>
      </c>
      <c r="G5" s="9" t="str">
        <f aca="false">IF(OR(ISNUMBER(SEARCH(G$1,'Menú y Pantallas'!$F5)),ISNUMBER(SEARCH("Todos",'Menú y Pantallas'!$F5))),"X","")</f>
        <v/>
      </c>
      <c r="H5" s="9" t="str">
        <f aca="false">IF(OR(ISNUMBER(SEARCH(H$1,'Menú y Pantallas'!$F5)),ISNUMBER(SEARCH("Todos",'Menú y Pantallas'!$F5))),"X","")</f>
        <v/>
      </c>
      <c r="I5" s="9" t="str">
        <f aca="false">IF(OR(ISNUMBER(SEARCH(I$1,'Menú y Pantallas'!$F5)),ISNUMBER(SEARCH("Todos",'Menú y Pantallas'!$F5))),"X","")</f>
        <v/>
      </c>
      <c r="J5" s="9" t="str">
        <f aca="false">IF(OR(ISNUMBER(SEARCH(J$1,'Menú y Pantallas'!$F5)),ISNUMBER(SEARCH("Todos",'Menú y Pantallas'!$F5))),"X","")</f>
        <v>X</v>
      </c>
      <c r="K5" s="9" t="str">
        <f aca="false">IF(OR(ISNUMBER(SEARCH(K$1,'Menú y Pantallas'!$F5)),ISNUMBER(SEARCH("Todos",'Menú y Pantallas'!$F5))),"X","")</f>
        <v/>
      </c>
      <c r="L5" s="9" t="str">
        <f aca="false">IF(OR(ISNUMBER(SEARCH(L$1,'Menú y Pantallas'!$F5)),ISNUMBER(SEARCH("Todos",'Menú y Pantallas'!$F5))),"X","")</f>
        <v>X</v>
      </c>
    </row>
    <row r="6" customFormat="false" ht="15" hidden="false" customHeight="false" outlineLevel="0" collapsed="false">
      <c r="A6" s="7" t="str">
        <f aca="false">'Menú y Pantallas'!C6</f>
        <v>2.2</v>
      </c>
      <c r="B6" s="8" t="str">
        <f aca="false">'Menú y Pantallas'!D6</f>
        <v>Bodegas</v>
      </c>
      <c r="C6" s="9" t="str">
        <f aca="false">IF(OR(ISNUMBER(SEARCH(C$1,'Menú y Pantallas'!$F6)),ISNUMBER(SEARCH("Todos",'Menú y Pantallas'!$F6))),"X","")</f>
        <v>X</v>
      </c>
      <c r="D6" s="9" t="str">
        <f aca="false">IF(OR(ISNUMBER(SEARCH(D$1,'Menú y Pantallas'!$F6)),ISNUMBER(SEARCH("Todos",'Menú y Pantallas'!$F6))),"X","")</f>
        <v/>
      </c>
      <c r="E6" s="9" t="str">
        <f aca="false">IF(OR(ISNUMBER(SEARCH(E$1,'Menú y Pantallas'!$F6)),ISNUMBER(SEARCH("Todos",'Menú y Pantallas'!$F6))),"X","")</f>
        <v/>
      </c>
      <c r="F6" s="9" t="str">
        <f aca="false">IF(OR(ISNUMBER(SEARCH(F$1,'Menú y Pantallas'!$F6)),ISNUMBER(SEARCH("Todos",'Menú y Pantallas'!$F6))),"X","")</f>
        <v/>
      </c>
      <c r="G6" s="9" t="str">
        <f aca="false">IF(OR(ISNUMBER(SEARCH(G$1,'Menú y Pantallas'!$F6)),ISNUMBER(SEARCH("Todos",'Menú y Pantallas'!$F6))),"X","")</f>
        <v/>
      </c>
      <c r="H6" s="9" t="str">
        <f aca="false">IF(OR(ISNUMBER(SEARCH(H$1,'Menú y Pantallas'!$F6)),ISNUMBER(SEARCH("Todos",'Menú y Pantallas'!$F6))),"X","")</f>
        <v/>
      </c>
      <c r="I6" s="9" t="str">
        <f aca="false">IF(OR(ISNUMBER(SEARCH(I$1,'Menú y Pantallas'!$F6)),ISNUMBER(SEARCH("Todos",'Menú y Pantallas'!$F6))),"X","")</f>
        <v/>
      </c>
      <c r="J6" s="9" t="str">
        <f aca="false">IF(OR(ISNUMBER(SEARCH(J$1,'Menú y Pantallas'!$F6)),ISNUMBER(SEARCH("Todos",'Menú y Pantallas'!$F6))),"X","")</f>
        <v/>
      </c>
      <c r="K6" s="9" t="str">
        <f aca="false">IF(OR(ISNUMBER(SEARCH(K$1,'Menú y Pantallas'!$F6)),ISNUMBER(SEARCH("Todos",'Menú y Pantallas'!$F6))),"X","")</f>
        <v/>
      </c>
      <c r="L6" s="9" t="str">
        <f aca="false">IF(OR(ISNUMBER(SEARCH(L$1,'Menú y Pantallas'!$F6)),ISNUMBER(SEARCH("Todos",'Menú y Pantallas'!$F6))),"X","")</f>
        <v/>
      </c>
    </row>
    <row r="7" customFormat="false" ht="15" hidden="false" customHeight="false" outlineLevel="0" collapsed="false">
      <c r="A7" s="7" t="str">
        <f aca="false">'Menú y Pantallas'!C7</f>
        <v>2.3</v>
      </c>
      <c r="B7" s="8" t="str">
        <f aca="false">'Menú y Pantallas'!D7</f>
        <v>Ubicaciones y zonas</v>
      </c>
      <c r="C7" s="9" t="str">
        <f aca="false">IF(OR(ISNUMBER(SEARCH(C$1,'Menú y Pantallas'!$F7)),ISNUMBER(SEARCH("Todos",'Menú y Pantallas'!$F7))),"X","")</f>
        <v>X</v>
      </c>
      <c r="D7" s="9" t="str">
        <f aca="false">IF(OR(ISNUMBER(SEARCH(D$1,'Menú y Pantallas'!$F7)),ISNUMBER(SEARCH("Todos",'Menú y Pantallas'!$F7))),"X","")</f>
        <v>X</v>
      </c>
      <c r="E7" s="9" t="str">
        <f aca="false">IF(OR(ISNUMBER(SEARCH(E$1,'Menú y Pantallas'!$F7)),ISNUMBER(SEARCH("Todos",'Menú y Pantallas'!$F7))),"X","")</f>
        <v/>
      </c>
      <c r="F7" s="9" t="str">
        <f aca="false">IF(OR(ISNUMBER(SEARCH(F$1,'Menú y Pantallas'!$F7)),ISNUMBER(SEARCH("Todos",'Menú y Pantallas'!$F7))),"X","")</f>
        <v/>
      </c>
      <c r="G7" s="9" t="str">
        <f aca="false">IF(OR(ISNUMBER(SEARCH(G$1,'Menú y Pantallas'!$F7)),ISNUMBER(SEARCH("Todos",'Menú y Pantallas'!$F7))),"X","")</f>
        <v/>
      </c>
      <c r="H7" s="9" t="str">
        <f aca="false">IF(OR(ISNUMBER(SEARCH(H$1,'Menú y Pantallas'!$F7)),ISNUMBER(SEARCH("Todos",'Menú y Pantallas'!$F7))),"X","")</f>
        <v/>
      </c>
      <c r="I7" s="9" t="str">
        <f aca="false">IF(OR(ISNUMBER(SEARCH(I$1,'Menú y Pantallas'!$F7)),ISNUMBER(SEARCH("Todos",'Menú y Pantallas'!$F7))),"X","")</f>
        <v/>
      </c>
      <c r="J7" s="9" t="str">
        <f aca="false">IF(OR(ISNUMBER(SEARCH(J$1,'Menú y Pantallas'!$F7)),ISNUMBER(SEARCH("Todos",'Menú y Pantallas'!$F7))),"X","")</f>
        <v/>
      </c>
      <c r="K7" s="9" t="str">
        <f aca="false">IF(OR(ISNUMBER(SEARCH(K$1,'Menú y Pantallas'!$F7)),ISNUMBER(SEARCH("Todos",'Menú y Pantallas'!$F7))),"X","")</f>
        <v/>
      </c>
      <c r="L7" s="9" t="str">
        <f aca="false">IF(OR(ISNUMBER(SEARCH(L$1,'Menú y Pantallas'!$F7)),ISNUMBER(SEARCH("Todos",'Menú y Pantallas'!$F7))),"X","")</f>
        <v/>
      </c>
    </row>
    <row r="8" customFormat="false" ht="15" hidden="false" customHeight="false" outlineLevel="0" collapsed="false">
      <c r="A8" s="7" t="str">
        <f aca="false">'Menú y Pantallas'!C8</f>
        <v>2.4</v>
      </c>
      <c r="B8" s="8" t="str">
        <f aca="false">'Menú y Pantallas'!D8</f>
        <v>Reglas de putaway y reposición</v>
      </c>
      <c r="C8" s="9" t="str">
        <f aca="false">IF(OR(ISNUMBER(SEARCH(C$1,'Menú y Pantallas'!$F8)),ISNUMBER(SEARCH("Todos",'Menú y Pantallas'!$F8))),"X","")</f>
        <v>X</v>
      </c>
      <c r="D8" s="9" t="str">
        <f aca="false">IF(OR(ISNUMBER(SEARCH(D$1,'Menú y Pantallas'!$F8)),ISNUMBER(SEARCH("Todos",'Menú y Pantallas'!$F8))),"X","")</f>
        <v>X</v>
      </c>
      <c r="E8" s="9" t="str">
        <f aca="false">IF(OR(ISNUMBER(SEARCH(E$1,'Menú y Pantallas'!$F8)),ISNUMBER(SEARCH("Todos",'Menú y Pantallas'!$F8))),"X","")</f>
        <v/>
      </c>
      <c r="F8" s="9" t="str">
        <f aca="false">IF(OR(ISNUMBER(SEARCH(F$1,'Menú y Pantallas'!$F8)),ISNUMBER(SEARCH("Todos",'Menú y Pantallas'!$F8))),"X","")</f>
        <v/>
      </c>
      <c r="G8" s="9" t="str">
        <f aca="false">IF(OR(ISNUMBER(SEARCH(G$1,'Menú y Pantallas'!$F8)),ISNUMBER(SEARCH("Todos",'Menú y Pantallas'!$F8))),"X","")</f>
        <v/>
      </c>
      <c r="H8" s="9" t="str">
        <f aca="false">IF(OR(ISNUMBER(SEARCH(H$1,'Menú y Pantallas'!$F8)),ISNUMBER(SEARCH("Todos",'Menú y Pantallas'!$F8))),"X","")</f>
        <v/>
      </c>
      <c r="I8" s="9" t="str">
        <f aca="false">IF(OR(ISNUMBER(SEARCH(I$1,'Menú y Pantallas'!$F8)),ISNUMBER(SEARCH("Todos",'Menú y Pantallas'!$F8))),"X","")</f>
        <v/>
      </c>
      <c r="J8" s="9" t="str">
        <f aca="false">IF(OR(ISNUMBER(SEARCH(J$1,'Menú y Pantallas'!$F8)),ISNUMBER(SEARCH("Todos",'Menú y Pantallas'!$F8))),"X","")</f>
        <v/>
      </c>
      <c r="K8" s="9" t="str">
        <f aca="false">IF(OR(ISNUMBER(SEARCH(K$1,'Menú y Pantallas'!$F8)),ISNUMBER(SEARCH("Todos",'Menú y Pantallas'!$F8))),"X","")</f>
        <v/>
      </c>
      <c r="L8" s="9" t="str">
        <f aca="false">IF(OR(ISNUMBER(SEARCH(L$1,'Menú y Pantallas'!$F8)),ISNUMBER(SEARCH("Todos",'Menú y Pantallas'!$F8))),"X","")</f>
        <v/>
      </c>
    </row>
    <row r="9" customFormat="false" ht="15" hidden="false" customHeight="false" outlineLevel="0" collapsed="false">
      <c r="A9" s="7" t="str">
        <f aca="false">'Menú y Pantallas'!C9</f>
        <v>2.5</v>
      </c>
      <c r="B9" s="8" t="str">
        <f aca="false">'Menú y Pantallas'!D9</f>
        <v>Traspasos inter-bodegas</v>
      </c>
      <c r="C9" s="9" t="str">
        <f aca="false">IF(OR(ISNUMBER(SEARCH(C$1,'Menú y Pantallas'!$F9)),ISNUMBER(SEARCH("Todos",'Menú y Pantallas'!$F9))),"X","")</f>
        <v/>
      </c>
      <c r="D9" s="9" t="str">
        <f aca="false">IF(OR(ISNUMBER(SEARCH(D$1,'Menú y Pantallas'!$F9)),ISNUMBER(SEARCH("Todos",'Menú y Pantallas'!$F9))),"X","")</f>
        <v>X</v>
      </c>
      <c r="E9" s="9" t="str">
        <f aca="false">IF(OR(ISNUMBER(SEARCH(E$1,'Menú y Pantallas'!$F9)),ISNUMBER(SEARCH("Todos",'Menú y Pantallas'!$F9))),"X","")</f>
        <v>X</v>
      </c>
      <c r="F9" s="9" t="str">
        <f aca="false">IF(OR(ISNUMBER(SEARCH(F$1,'Menú y Pantallas'!$F9)),ISNUMBER(SEARCH("Todos",'Menú y Pantallas'!$F9))),"X","")</f>
        <v>X</v>
      </c>
      <c r="G9" s="9" t="str">
        <f aca="false">IF(OR(ISNUMBER(SEARCH(G$1,'Menú y Pantallas'!$F9)),ISNUMBER(SEARCH("Todos",'Menú y Pantallas'!$F9))),"X","")</f>
        <v/>
      </c>
      <c r="H9" s="9" t="str">
        <f aca="false">IF(OR(ISNUMBER(SEARCH(H$1,'Menú y Pantallas'!$F9)),ISNUMBER(SEARCH("Todos",'Menú y Pantallas'!$F9))),"X","")</f>
        <v/>
      </c>
      <c r="I9" s="9" t="str">
        <f aca="false">IF(OR(ISNUMBER(SEARCH(I$1,'Menú y Pantallas'!$F9)),ISNUMBER(SEARCH("Todos",'Menú y Pantallas'!$F9))),"X","")</f>
        <v/>
      </c>
      <c r="J9" s="9" t="str">
        <f aca="false">IF(OR(ISNUMBER(SEARCH(J$1,'Menú y Pantallas'!$F9)),ISNUMBER(SEARCH("Todos",'Menú y Pantallas'!$F9))),"X","")</f>
        <v/>
      </c>
      <c r="K9" s="9" t="str">
        <f aca="false">IF(OR(ISNUMBER(SEARCH(K$1,'Menú y Pantallas'!$F9)),ISNUMBER(SEARCH("Todos",'Menú y Pantallas'!$F9))),"X","")</f>
        <v/>
      </c>
      <c r="L9" s="9" t="str">
        <f aca="false">IF(OR(ISNUMBER(SEARCH(L$1,'Menú y Pantallas'!$F9)),ISNUMBER(SEARCH("Todos",'Menú y Pantallas'!$F9))),"X","")</f>
        <v/>
      </c>
    </row>
    <row r="10" customFormat="false" ht="15" hidden="false" customHeight="false" outlineLevel="0" collapsed="false">
      <c r="A10" s="7" t="str">
        <f aca="false">'Menú y Pantallas'!C10</f>
        <v>3.1</v>
      </c>
      <c r="B10" s="8" t="str">
        <f aca="false">'Menú y Pantallas'!D10</f>
        <v>Agenda de muelles y ASN</v>
      </c>
      <c r="C10" s="9" t="str">
        <f aca="false">IF(OR(ISNUMBER(SEARCH(C$1,'Menú y Pantallas'!$F10)),ISNUMBER(SEARCH("Todos",'Menú y Pantallas'!$F10))),"X","")</f>
        <v/>
      </c>
      <c r="D10" s="9" t="str">
        <f aca="false">IF(OR(ISNUMBER(SEARCH(D$1,'Menú y Pantallas'!$F10)),ISNUMBER(SEARCH("Todos",'Menú y Pantallas'!$F10))),"X","")</f>
        <v>X</v>
      </c>
      <c r="E10" s="9" t="str">
        <f aca="false">IF(OR(ISNUMBER(SEARCH(E$1,'Menú y Pantallas'!$F10)),ISNUMBER(SEARCH("Todos",'Menú y Pantallas'!$F10))),"X","")</f>
        <v>X</v>
      </c>
      <c r="F10" s="9" t="str">
        <f aca="false">IF(OR(ISNUMBER(SEARCH(F$1,'Menú y Pantallas'!$F10)),ISNUMBER(SEARCH("Todos",'Menú y Pantallas'!$F10))),"X","")</f>
        <v/>
      </c>
      <c r="G10" s="9" t="str">
        <f aca="false">IF(OR(ISNUMBER(SEARCH(G$1,'Menú y Pantallas'!$F10)),ISNUMBER(SEARCH("Todos",'Menú y Pantallas'!$F10))),"X","")</f>
        <v/>
      </c>
      <c r="H10" s="9" t="str">
        <f aca="false">IF(OR(ISNUMBER(SEARCH(H$1,'Menú y Pantallas'!$F10)),ISNUMBER(SEARCH("Todos",'Menú y Pantallas'!$F10))),"X","")</f>
        <v/>
      </c>
      <c r="I10" s="9" t="str">
        <f aca="false">IF(OR(ISNUMBER(SEARCH(I$1,'Menú y Pantallas'!$F10)),ISNUMBER(SEARCH("Todos",'Menú y Pantallas'!$F10))),"X","")</f>
        <v/>
      </c>
      <c r="J10" s="9" t="str">
        <f aca="false">IF(OR(ISNUMBER(SEARCH(J$1,'Menú y Pantallas'!$F10)),ISNUMBER(SEARCH("Todos",'Menú y Pantallas'!$F10))),"X","")</f>
        <v/>
      </c>
      <c r="K10" s="9" t="str">
        <f aca="false">IF(OR(ISNUMBER(SEARCH(K$1,'Menú y Pantallas'!$F10)),ISNUMBER(SEARCH("Todos",'Menú y Pantallas'!$F10))),"X","")</f>
        <v/>
      </c>
      <c r="L10" s="9" t="str">
        <f aca="false">IF(OR(ISNUMBER(SEARCH(L$1,'Menú y Pantallas'!$F10)),ISNUMBER(SEARCH("Todos",'Menú y Pantallas'!$F10))),"X","")</f>
        <v/>
      </c>
    </row>
    <row r="11" customFormat="false" ht="15" hidden="false" customHeight="false" outlineLevel="0" collapsed="false">
      <c r="A11" s="7" t="str">
        <f aca="false">'Menú y Pantallas'!C11</f>
        <v>3.2</v>
      </c>
      <c r="B11" s="8" t="str">
        <f aca="false">'Menú y Pantallas'!D11</f>
        <v>Recepción contra OC</v>
      </c>
      <c r="C11" s="9" t="str">
        <f aca="false">IF(OR(ISNUMBER(SEARCH(C$1,'Menú y Pantallas'!$F11)),ISNUMBER(SEARCH("Todos",'Menú y Pantallas'!$F11))),"X","")</f>
        <v/>
      </c>
      <c r="D11" s="9" t="str">
        <f aca="false">IF(OR(ISNUMBER(SEARCH(D$1,'Menú y Pantallas'!$F11)),ISNUMBER(SEARCH("Todos",'Menú y Pantallas'!$F11))),"X","")</f>
        <v>X</v>
      </c>
      <c r="E11" s="9" t="str">
        <f aca="false">IF(OR(ISNUMBER(SEARCH(E$1,'Menú y Pantallas'!$F11)),ISNUMBER(SEARCH("Todos",'Menú y Pantallas'!$F11))),"X","")</f>
        <v>X</v>
      </c>
      <c r="F11" s="9" t="str">
        <f aca="false">IF(OR(ISNUMBER(SEARCH(F$1,'Menú y Pantallas'!$F11)),ISNUMBER(SEARCH("Todos",'Menú y Pantallas'!$F11))),"X","")</f>
        <v/>
      </c>
      <c r="G11" s="9" t="str">
        <f aca="false">IF(OR(ISNUMBER(SEARCH(G$1,'Menú y Pantallas'!$F11)),ISNUMBER(SEARCH("Todos",'Menú y Pantallas'!$F11))),"X","")</f>
        <v/>
      </c>
      <c r="H11" s="9" t="str">
        <f aca="false">IF(OR(ISNUMBER(SEARCH(H$1,'Menú y Pantallas'!$F11)),ISNUMBER(SEARCH("Todos",'Menú y Pantallas'!$F11))),"X","")</f>
        <v/>
      </c>
      <c r="I11" s="9" t="str">
        <f aca="false">IF(OR(ISNUMBER(SEARCH(I$1,'Menú y Pantallas'!$F11)),ISNUMBER(SEARCH("Todos",'Menú y Pantallas'!$F11))),"X","")</f>
        <v/>
      </c>
      <c r="J11" s="9" t="str">
        <f aca="false">IF(OR(ISNUMBER(SEARCH(J$1,'Menú y Pantallas'!$F11)),ISNUMBER(SEARCH("Todos",'Menú y Pantallas'!$F11))),"X","")</f>
        <v/>
      </c>
      <c r="K11" s="9" t="str">
        <f aca="false">IF(OR(ISNUMBER(SEARCH(K$1,'Menú y Pantallas'!$F11)),ISNUMBER(SEARCH("Todos",'Menú y Pantallas'!$F11))),"X","")</f>
        <v/>
      </c>
      <c r="L11" s="9" t="str">
        <f aca="false">IF(OR(ISNUMBER(SEARCH(L$1,'Menú y Pantallas'!$F11)),ISNUMBER(SEARCH("Todos",'Menú y Pantallas'!$F11))),"X","")</f>
        <v/>
      </c>
    </row>
    <row r="12" customFormat="false" ht="15" hidden="false" customHeight="false" outlineLevel="0" collapsed="false">
      <c r="A12" s="7" t="str">
        <f aca="false">'Menú y Pantallas'!C12</f>
        <v>3.3</v>
      </c>
      <c r="B12" s="8" t="str">
        <f aca="false">'Menú y Pantallas'!D12</f>
        <v>Inspección de calidad</v>
      </c>
      <c r="C12" s="9" t="str">
        <f aca="false">IF(OR(ISNUMBER(SEARCH(C$1,'Menú y Pantallas'!$F12)),ISNUMBER(SEARCH("Todos",'Menú y Pantallas'!$F12))),"X","")</f>
        <v/>
      </c>
      <c r="D12" s="9" t="str">
        <f aca="false">IF(OR(ISNUMBER(SEARCH(D$1,'Menú y Pantallas'!$F12)),ISNUMBER(SEARCH("Todos",'Menú y Pantallas'!$F12))),"X","")</f>
        <v>X</v>
      </c>
      <c r="E12" s="9" t="str">
        <f aca="false">IF(OR(ISNUMBER(SEARCH(E$1,'Menú y Pantallas'!$F12)),ISNUMBER(SEARCH("Todos",'Menú y Pantallas'!$F12))),"X","")</f>
        <v/>
      </c>
      <c r="F12" s="9" t="str">
        <f aca="false">IF(OR(ISNUMBER(SEARCH(F$1,'Menú y Pantallas'!$F12)),ISNUMBER(SEARCH("Todos",'Menú y Pantallas'!$F12))),"X","")</f>
        <v/>
      </c>
      <c r="G12" s="9" t="str">
        <f aca="false">IF(OR(ISNUMBER(SEARCH(G$1,'Menú y Pantallas'!$F12)),ISNUMBER(SEARCH("Todos",'Menú y Pantallas'!$F12))),"X","")</f>
        <v/>
      </c>
      <c r="H12" s="9" t="str">
        <f aca="false">IF(OR(ISNUMBER(SEARCH(H$1,'Menú y Pantallas'!$F12)),ISNUMBER(SEARCH("Todos",'Menú y Pantallas'!$F12))),"X","")</f>
        <v>X</v>
      </c>
      <c r="I12" s="9" t="str">
        <f aca="false">IF(OR(ISNUMBER(SEARCH(I$1,'Menú y Pantallas'!$F12)),ISNUMBER(SEARCH("Todos",'Menú y Pantallas'!$F12))),"X","")</f>
        <v/>
      </c>
      <c r="J12" s="9" t="str">
        <f aca="false">IF(OR(ISNUMBER(SEARCH(J$1,'Menú y Pantallas'!$F12)),ISNUMBER(SEARCH("Todos",'Menú y Pantallas'!$F12))),"X","")</f>
        <v/>
      </c>
      <c r="K12" s="9" t="str">
        <f aca="false">IF(OR(ISNUMBER(SEARCH(K$1,'Menú y Pantallas'!$F12)),ISNUMBER(SEARCH("Todos",'Menú y Pantallas'!$F12))),"X","")</f>
        <v/>
      </c>
      <c r="L12" s="9" t="str">
        <f aca="false">IF(OR(ISNUMBER(SEARCH(L$1,'Menú y Pantallas'!$F12)),ISNUMBER(SEARCH("Todos",'Menú y Pantallas'!$F12))),"X","")</f>
        <v/>
      </c>
    </row>
    <row r="13" customFormat="false" ht="15" hidden="false" customHeight="false" outlineLevel="0" collapsed="false">
      <c r="A13" s="7" t="str">
        <f aca="false">'Menú y Pantallas'!C13</f>
        <v>3.4</v>
      </c>
      <c r="B13" s="8" t="str">
        <f aca="false">'Menú y Pantallas'!D13</f>
        <v>Putaway</v>
      </c>
      <c r="C13" s="9" t="str">
        <f aca="false">IF(OR(ISNUMBER(SEARCH(C$1,'Menú y Pantallas'!$F13)),ISNUMBER(SEARCH("Todos",'Menú y Pantallas'!$F13))),"X","")</f>
        <v/>
      </c>
      <c r="D13" s="9" t="str">
        <f aca="false">IF(OR(ISNUMBER(SEARCH(D$1,'Menú y Pantallas'!$F13)),ISNUMBER(SEARCH("Todos",'Menú y Pantallas'!$F13))),"X","")</f>
        <v/>
      </c>
      <c r="E13" s="9" t="str">
        <f aca="false">IF(OR(ISNUMBER(SEARCH(E$1,'Menú y Pantallas'!$F13)),ISNUMBER(SEARCH("Todos",'Menú y Pantallas'!$F13))),"X","")</f>
        <v>X</v>
      </c>
      <c r="F13" s="9" t="str">
        <f aca="false">IF(OR(ISNUMBER(SEARCH(F$1,'Menú y Pantallas'!$F13)),ISNUMBER(SEARCH("Todos",'Menú y Pantallas'!$F13))),"X","")</f>
        <v/>
      </c>
      <c r="G13" s="9" t="str">
        <f aca="false">IF(OR(ISNUMBER(SEARCH(G$1,'Menú y Pantallas'!$F13)),ISNUMBER(SEARCH("Todos",'Menú y Pantallas'!$F13))),"X","")</f>
        <v/>
      </c>
      <c r="H13" s="9" t="str">
        <f aca="false">IF(OR(ISNUMBER(SEARCH(H$1,'Menú y Pantallas'!$F13)),ISNUMBER(SEARCH("Todos",'Menú y Pantallas'!$F13))),"X","")</f>
        <v/>
      </c>
      <c r="I13" s="9" t="str">
        <f aca="false">IF(OR(ISNUMBER(SEARCH(I$1,'Menú y Pantallas'!$F13)),ISNUMBER(SEARCH("Todos",'Menú y Pantallas'!$F13))),"X","")</f>
        <v/>
      </c>
      <c r="J13" s="9" t="str">
        <f aca="false">IF(OR(ISNUMBER(SEARCH(J$1,'Menú y Pantallas'!$F13)),ISNUMBER(SEARCH("Todos",'Menú y Pantallas'!$F13))),"X","")</f>
        <v/>
      </c>
      <c r="K13" s="9" t="str">
        <f aca="false">IF(OR(ISNUMBER(SEARCH(K$1,'Menú y Pantallas'!$F13)),ISNUMBER(SEARCH("Todos",'Menú y Pantallas'!$F13))),"X","")</f>
        <v/>
      </c>
      <c r="L13" s="9" t="str">
        <f aca="false">IF(OR(ISNUMBER(SEARCH(L$1,'Menú y Pantallas'!$F13)),ISNUMBER(SEARCH("Todos",'Menú y Pantallas'!$F13))),"X","")</f>
        <v/>
      </c>
    </row>
    <row r="14" customFormat="false" ht="15" hidden="false" customHeight="false" outlineLevel="0" collapsed="false">
      <c r="A14" s="7" t="str">
        <f aca="false">'Menú y Pantallas'!C14</f>
        <v>3.5</v>
      </c>
      <c r="B14" s="8" t="str">
        <f aca="false">'Menú y Pantallas'!D14</f>
        <v>Etiquetas y LPN</v>
      </c>
      <c r="C14" s="9" t="str">
        <f aca="false">IF(OR(ISNUMBER(SEARCH(C$1,'Menú y Pantallas'!$F14)),ISNUMBER(SEARCH("Todos",'Menú y Pantallas'!$F14))),"X","")</f>
        <v/>
      </c>
      <c r="D14" s="9" t="str">
        <f aca="false">IF(OR(ISNUMBER(SEARCH(D$1,'Menú y Pantallas'!$F14)),ISNUMBER(SEARCH("Todos",'Menú y Pantallas'!$F14))),"X","")</f>
        <v>X</v>
      </c>
      <c r="E14" s="9" t="str">
        <f aca="false">IF(OR(ISNUMBER(SEARCH(E$1,'Menú y Pantallas'!$F14)),ISNUMBER(SEARCH("Todos",'Menú y Pantallas'!$F14))),"X","")</f>
        <v>X</v>
      </c>
      <c r="F14" s="9" t="str">
        <f aca="false">IF(OR(ISNUMBER(SEARCH(F$1,'Menú y Pantallas'!$F14)),ISNUMBER(SEARCH("Todos",'Menú y Pantallas'!$F14))),"X","")</f>
        <v/>
      </c>
      <c r="G14" s="9" t="str">
        <f aca="false">IF(OR(ISNUMBER(SEARCH(G$1,'Menú y Pantallas'!$F14)),ISNUMBER(SEARCH("Todos",'Menú y Pantallas'!$F14))),"X","")</f>
        <v/>
      </c>
      <c r="H14" s="9" t="str">
        <f aca="false">IF(OR(ISNUMBER(SEARCH(H$1,'Menú y Pantallas'!$F14)),ISNUMBER(SEARCH("Todos",'Menú y Pantallas'!$F14))),"X","")</f>
        <v/>
      </c>
      <c r="I14" s="9" t="str">
        <f aca="false">IF(OR(ISNUMBER(SEARCH(I$1,'Menú y Pantallas'!$F14)),ISNUMBER(SEARCH("Todos",'Menú y Pantallas'!$F14))),"X","")</f>
        <v/>
      </c>
      <c r="J14" s="9" t="str">
        <f aca="false">IF(OR(ISNUMBER(SEARCH(J$1,'Menú y Pantallas'!$F14)),ISNUMBER(SEARCH("Todos",'Menú y Pantallas'!$F14))),"X","")</f>
        <v/>
      </c>
      <c r="K14" s="9" t="str">
        <f aca="false">IF(OR(ISNUMBER(SEARCH(K$1,'Menú y Pantallas'!$F14)),ISNUMBER(SEARCH("Todos",'Menú y Pantallas'!$F14))),"X","")</f>
        <v/>
      </c>
      <c r="L14" s="9" t="str">
        <f aca="false">IF(OR(ISNUMBER(SEARCH(L$1,'Menú y Pantallas'!$F14)),ISNUMBER(SEARCH("Todos",'Menú y Pantallas'!$F14))),"X","")</f>
        <v/>
      </c>
    </row>
    <row r="15" customFormat="false" ht="15" hidden="false" customHeight="false" outlineLevel="0" collapsed="false">
      <c r="A15" s="7" t="str">
        <f aca="false">'Menú y Pantallas'!C15</f>
        <v>3.6</v>
      </c>
      <c r="B15" s="8" t="str">
        <f aca="false">'Menú y Pantallas'!D15</f>
        <v>Discrepancias con proveedor</v>
      </c>
      <c r="C15" s="9" t="str">
        <f aca="false">IF(OR(ISNUMBER(SEARCH(C$1,'Menú y Pantallas'!$F15)),ISNUMBER(SEARCH("Todos",'Menú y Pantallas'!$F15))),"X","")</f>
        <v/>
      </c>
      <c r="D15" s="9" t="str">
        <f aca="false">IF(OR(ISNUMBER(SEARCH(D$1,'Menú y Pantallas'!$F15)),ISNUMBER(SEARCH("Todos",'Menú y Pantallas'!$F15))),"X","")</f>
        <v>X</v>
      </c>
      <c r="E15" s="9" t="str">
        <f aca="false">IF(OR(ISNUMBER(SEARCH(E$1,'Menú y Pantallas'!$F15)),ISNUMBER(SEARCH("Todos",'Menú y Pantallas'!$F15))),"X","")</f>
        <v/>
      </c>
      <c r="F15" s="9" t="str">
        <f aca="false">IF(OR(ISNUMBER(SEARCH(F$1,'Menú y Pantallas'!$F15)),ISNUMBER(SEARCH("Todos",'Menú y Pantallas'!$F15))),"X","")</f>
        <v/>
      </c>
      <c r="G15" s="9" t="str">
        <f aca="false">IF(OR(ISNUMBER(SEARCH(G$1,'Menú y Pantallas'!$F15)),ISNUMBER(SEARCH("Todos",'Menú y Pantallas'!$F15))),"X","")</f>
        <v/>
      </c>
      <c r="H15" s="9" t="str">
        <f aca="false">IF(OR(ISNUMBER(SEARCH(H$1,'Menú y Pantallas'!$F15)),ISNUMBER(SEARCH("Todos",'Menú y Pantallas'!$F15))),"X","")</f>
        <v/>
      </c>
      <c r="I15" s="9" t="str">
        <f aca="false">IF(OR(ISNUMBER(SEARCH(I$1,'Menú y Pantallas'!$F15)),ISNUMBER(SEARCH("Todos",'Menú y Pantallas'!$F15))),"X","")</f>
        <v/>
      </c>
      <c r="J15" s="9" t="str">
        <f aca="false">IF(OR(ISNUMBER(SEARCH(J$1,'Menú y Pantallas'!$F15)),ISNUMBER(SEARCH("Todos",'Menú y Pantallas'!$F15))),"X","")</f>
        <v>X</v>
      </c>
      <c r="K15" s="9" t="str">
        <f aca="false">IF(OR(ISNUMBER(SEARCH(K$1,'Menú y Pantallas'!$F15)),ISNUMBER(SEARCH("Todos",'Menú y Pantallas'!$F15))),"X","")</f>
        <v/>
      </c>
      <c r="L15" s="9" t="str">
        <f aca="false">IF(OR(ISNUMBER(SEARCH(L$1,'Menú y Pantallas'!$F15)),ISNUMBER(SEARCH("Todos",'Menú y Pantallas'!$F15))),"X","")</f>
        <v/>
      </c>
    </row>
    <row r="16" customFormat="false" ht="15" hidden="false" customHeight="false" outlineLevel="0" collapsed="false">
      <c r="A16" s="7" t="str">
        <f aca="false">'Menú y Pantallas'!C16</f>
        <v>4.1</v>
      </c>
      <c r="B16" s="8" t="str">
        <f aca="false">'Menú y Pantallas'!D16</f>
        <v>Consulta de existencias</v>
      </c>
      <c r="C16" s="9" t="str">
        <f aca="false">IF(OR(ISNUMBER(SEARCH(C$1,'Menú y Pantallas'!$F16)),ISNUMBER(SEARCH("Todos",'Menú y Pantallas'!$F16))),"X","")</f>
        <v>X</v>
      </c>
      <c r="D16" s="9" t="str">
        <f aca="false">IF(OR(ISNUMBER(SEARCH(D$1,'Menú y Pantallas'!$F16)),ISNUMBER(SEARCH("Todos",'Menú y Pantallas'!$F16))),"X","")</f>
        <v>X</v>
      </c>
      <c r="E16" s="9" t="str">
        <f aca="false">IF(OR(ISNUMBER(SEARCH(E$1,'Menú y Pantallas'!$F16)),ISNUMBER(SEARCH("Todos",'Menú y Pantallas'!$F16))),"X","")</f>
        <v>X</v>
      </c>
      <c r="F16" s="9" t="str">
        <f aca="false">IF(OR(ISNUMBER(SEARCH(F$1,'Menú y Pantallas'!$F16)),ISNUMBER(SEARCH("Todos",'Menú y Pantallas'!$F16))),"X","")</f>
        <v>X</v>
      </c>
      <c r="G16" s="9" t="str">
        <f aca="false">IF(OR(ISNUMBER(SEARCH(G$1,'Menú y Pantallas'!$F16)),ISNUMBER(SEARCH("Todos",'Menú y Pantallas'!$F16))),"X","")</f>
        <v>X</v>
      </c>
      <c r="H16" s="9" t="str">
        <f aca="false">IF(OR(ISNUMBER(SEARCH(H$1,'Menú y Pantallas'!$F16)),ISNUMBER(SEARCH("Todos",'Menú y Pantallas'!$F16))),"X","")</f>
        <v>X</v>
      </c>
      <c r="I16" s="9" t="str">
        <f aca="false">IF(OR(ISNUMBER(SEARCH(I$1,'Menú y Pantallas'!$F16)),ISNUMBER(SEARCH("Todos",'Menú y Pantallas'!$F16))),"X","")</f>
        <v>X</v>
      </c>
      <c r="J16" s="9" t="str">
        <f aca="false">IF(OR(ISNUMBER(SEARCH(J$1,'Menú y Pantallas'!$F16)),ISNUMBER(SEARCH("Todos",'Menú y Pantallas'!$F16))),"X","")</f>
        <v>X</v>
      </c>
      <c r="K16" s="9" t="str">
        <f aca="false">IF(OR(ISNUMBER(SEARCH(K$1,'Menú y Pantallas'!$F16)),ISNUMBER(SEARCH("Todos",'Menú y Pantallas'!$F16))),"X","")</f>
        <v>X</v>
      </c>
      <c r="L16" s="9" t="str">
        <f aca="false">IF(OR(ISNUMBER(SEARCH(L$1,'Menú y Pantallas'!$F16)),ISNUMBER(SEARCH("Todos",'Menú y Pantallas'!$F16))),"X","")</f>
        <v>X</v>
      </c>
    </row>
    <row r="17" customFormat="false" ht="15" hidden="false" customHeight="false" outlineLevel="0" collapsed="false">
      <c r="A17" s="7" t="str">
        <f aca="false">'Menú y Pantallas'!C17</f>
        <v>4.2</v>
      </c>
      <c r="B17" s="8" t="str">
        <f aca="false">'Menú y Pantallas'!D17</f>
        <v>Stock reservado</v>
      </c>
      <c r="C17" s="9" t="str">
        <f aca="false">IF(OR(ISNUMBER(SEARCH(C$1,'Menú y Pantallas'!$F17)),ISNUMBER(SEARCH("Todos",'Menú y Pantallas'!$F17))),"X","")</f>
        <v>X</v>
      </c>
      <c r="D17" s="9" t="str">
        <f aca="false">IF(OR(ISNUMBER(SEARCH(D$1,'Menú y Pantallas'!$F17)),ISNUMBER(SEARCH("Todos",'Menú y Pantallas'!$F17))),"X","")</f>
        <v>X</v>
      </c>
      <c r="E17" s="9" t="str">
        <f aca="false">IF(OR(ISNUMBER(SEARCH(E$1,'Menú y Pantallas'!$F17)),ISNUMBER(SEARCH("Todos",'Menú y Pantallas'!$F17))),"X","")</f>
        <v/>
      </c>
      <c r="F17" s="9" t="str">
        <f aca="false">IF(OR(ISNUMBER(SEARCH(F$1,'Menú y Pantallas'!$F17)),ISNUMBER(SEARCH("Todos",'Menú y Pantallas'!$F17))),"X","")</f>
        <v/>
      </c>
      <c r="G17" s="9" t="str">
        <f aca="false">IF(OR(ISNUMBER(SEARCH(G$1,'Menú y Pantallas'!$F17)),ISNUMBER(SEARCH("Todos",'Menú y Pantallas'!$F17))),"X","")</f>
        <v/>
      </c>
      <c r="H17" s="9" t="str">
        <f aca="false">IF(OR(ISNUMBER(SEARCH(H$1,'Menú y Pantallas'!$F17)),ISNUMBER(SEARCH("Todos",'Menú y Pantallas'!$F17))),"X","")</f>
        <v/>
      </c>
      <c r="I17" s="9" t="str">
        <f aca="false">IF(OR(ISNUMBER(SEARCH(I$1,'Menú y Pantallas'!$F17)),ISNUMBER(SEARCH("Todos",'Menú y Pantallas'!$F17))),"X","")</f>
        <v/>
      </c>
      <c r="J17" s="9" t="str">
        <f aca="false">IF(OR(ISNUMBER(SEARCH(J$1,'Menú y Pantallas'!$F17)),ISNUMBER(SEARCH("Todos",'Menú y Pantallas'!$F17))),"X","")</f>
        <v/>
      </c>
      <c r="K17" s="9" t="str">
        <f aca="false">IF(OR(ISNUMBER(SEARCH(K$1,'Menú y Pantallas'!$F17)),ISNUMBER(SEARCH("Todos",'Menú y Pantallas'!$F17))),"X","")</f>
        <v/>
      </c>
      <c r="L17" s="9" t="str">
        <f aca="false">IF(OR(ISNUMBER(SEARCH(L$1,'Menú y Pantallas'!$F17)),ISNUMBER(SEARCH("Todos",'Menú y Pantallas'!$F17))),"X","")</f>
        <v/>
      </c>
    </row>
    <row r="18" customFormat="false" ht="15" hidden="false" customHeight="false" outlineLevel="0" collapsed="false">
      <c r="A18" s="7" t="str">
        <f aca="false">'Menú y Pantallas'!C18</f>
        <v>4.3</v>
      </c>
      <c r="B18" s="8" t="str">
        <f aca="false">'Menú y Pantallas'!D18</f>
        <v>Disponible y ATP</v>
      </c>
      <c r="C18" s="9" t="str">
        <f aca="false">IF(OR(ISNUMBER(SEARCH(C$1,'Menú y Pantallas'!$F18)),ISNUMBER(SEARCH("Todos",'Menú y Pantallas'!$F18))),"X","")</f>
        <v/>
      </c>
      <c r="D18" s="9" t="str">
        <f aca="false">IF(OR(ISNUMBER(SEARCH(D$1,'Menú y Pantallas'!$F18)),ISNUMBER(SEARCH("Todos",'Menú y Pantallas'!$F18))),"X","")</f>
        <v>X</v>
      </c>
      <c r="E18" s="9" t="str">
        <f aca="false">IF(OR(ISNUMBER(SEARCH(E$1,'Menú y Pantallas'!$F18)),ISNUMBER(SEARCH("Todos",'Menú y Pantallas'!$F18))),"X","")</f>
        <v/>
      </c>
      <c r="F18" s="9" t="str">
        <f aca="false">IF(OR(ISNUMBER(SEARCH(F$1,'Menú y Pantallas'!$F18)),ISNUMBER(SEARCH("Todos",'Menú y Pantallas'!$F18))),"X","")</f>
        <v/>
      </c>
      <c r="G18" s="9" t="str">
        <f aca="false">IF(OR(ISNUMBER(SEARCH(G$1,'Menú y Pantallas'!$F18)),ISNUMBER(SEARCH("Todos",'Menú y Pantallas'!$F18))),"X","")</f>
        <v/>
      </c>
      <c r="H18" s="9" t="str">
        <f aca="false">IF(OR(ISNUMBER(SEARCH(H$1,'Menú y Pantallas'!$F18)),ISNUMBER(SEARCH("Todos",'Menú y Pantallas'!$F18))),"X","")</f>
        <v/>
      </c>
      <c r="I18" s="9" t="str">
        <f aca="false">IF(OR(ISNUMBER(SEARCH(I$1,'Menú y Pantallas'!$F18)),ISNUMBER(SEARCH("Todos",'Menú y Pantallas'!$F18))),"X","")</f>
        <v/>
      </c>
      <c r="J18" s="9" t="str">
        <f aca="false">IF(OR(ISNUMBER(SEARCH(J$1,'Menú y Pantallas'!$F18)),ISNUMBER(SEARCH("Todos",'Menú y Pantallas'!$F18))),"X","")</f>
        <v>X</v>
      </c>
      <c r="K18" s="9" t="str">
        <f aca="false">IF(OR(ISNUMBER(SEARCH(K$1,'Menú y Pantallas'!$F18)),ISNUMBER(SEARCH("Todos",'Menú y Pantallas'!$F18))),"X","")</f>
        <v/>
      </c>
      <c r="L18" s="9" t="str">
        <f aca="false">IF(OR(ISNUMBER(SEARCH(L$1,'Menú y Pantallas'!$F18)),ISNUMBER(SEARCH("Todos",'Menú y Pantallas'!$F18))),"X","")</f>
        <v>X</v>
      </c>
    </row>
    <row r="19" customFormat="false" ht="15" hidden="false" customHeight="false" outlineLevel="0" collapsed="false">
      <c r="A19" s="7" t="str">
        <f aca="false">'Menú y Pantallas'!C19</f>
        <v>4.4</v>
      </c>
      <c r="B19" s="8" t="str">
        <f aca="false">'Menú y Pantallas'!D19</f>
        <v>Kárdex y trazabilidad</v>
      </c>
      <c r="C19" s="9" t="str">
        <f aca="false">IF(OR(ISNUMBER(SEARCH(C$1,'Menú y Pantallas'!$F19)),ISNUMBER(SEARCH("Todos",'Menú y Pantallas'!$F19))),"X","")</f>
        <v/>
      </c>
      <c r="D19" s="9" t="str">
        <f aca="false">IF(OR(ISNUMBER(SEARCH(D$1,'Menú y Pantallas'!$F19)),ISNUMBER(SEARCH("Todos",'Menú y Pantallas'!$F19))),"X","")</f>
        <v>X</v>
      </c>
      <c r="E19" s="9" t="str">
        <f aca="false">IF(OR(ISNUMBER(SEARCH(E$1,'Menú y Pantallas'!$F19)),ISNUMBER(SEARCH("Todos",'Menú y Pantallas'!$F19))),"X","")</f>
        <v/>
      </c>
      <c r="F19" s="9" t="str">
        <f aca="false">IF(OR(ISNUMBER(SEARCH(F$1,'Menú y Pantallas'!$F19)),ISNUMBER(SEARCH("Todos",'Menú y Pantallas'!$F19))),"X","")</f>
        <v/>
      </c>
      <c r="G19" s="9" t="str">
        <f aca="false">IF(OR(ISNUMBER(SEARCH(G$1,'Menú y Pantallas'!$F19)),ISNUMBER(SEARCH("Todos",'Menú y Pantallas'!$F19))),"X","")</f>
        <v/>
      </c>
      <c r="H19" s="9" t="str">
        <f aca="false">IF(OR(ISNUMBER(SEARCH(H$1,'Menú y Pantallas'!$F19)),ISNUMBER(SEARCH("Todos",'Menú y Pantallas'!$F19))),"X","")</f>
        <v/>
      </c>
      <c r="I19" s="9" t="str">
        <f aca="false">IF(OR(ISNUMBER(SEARCH(I$1,'Menú y Pantallas'!$F19)),ISNUMBER(SEARCH("Todos",'Menú y Pantallas'!$F19))),"X","")</f>
        <v>X</v>
      </c>
      <c r="J19" s="9" t="str">
        <f aca="false">IF(OR(ISNUMBER(SEARCH(J$1,'Menú y Pantallas'!$F19)),ISNUMBER(SEARCH("Todos",'Menú y Pantallas'!$F19))),"X","")</f>
        <v/>
      </c>
      <c r="K19" s="9" t="str">
        <f aca="false">IF(OR(ISNUMBER(SEARCH(K$1,'Menú y Pantallas'!$F19)),ISNUMBER(SEARCH("Todos",'Menú y Pantallas'!$F19))),"X","")</f>
        <v/>
      </c>
      <c r="L19" s="9" t="str">
        <f aca="false">IF(OR(ISNUMBER(SEARCH(L$1,'Menú y Pantallas'!$F19)),ISNUMBER(SEARCH("Todos",'Menú y Pantallas'!$F19))),"X","")</f>
        <v>X</v>
      </c>
    </row>
    <row r="20" customFormat="false" ht="15" hidden="false" customHeight="false" outlineLevel="0" collapsed="false">
      <c r="A20" s="7" t="str">
        <f aca="false">'Menú y Pantallas'!C20</f>
        <v>4.5</v>
      </c>
      <c r="B20" s="8" t="str">
        <f aca="false">'Menú y Pantallas'!D20</f>
        <v>Bloqueo y recall por lote</v>
      </c>
      <c r="C20" s="9" t="str">
        <f aca="false">IF(OR(ISNUMBER(SEARCH(C$1,'Menú y Pantallas'!$F20)),ISNUMBER(SEARCH("Todos",'Menú y Pantallas'!$F20))),"X","")</f>
        <v>X</v>
      </c>
      <c r="D20" s="9" t="str">
        <f aca="false">IF(OR(ISNUMBER(SEARCH(D$1,'Menú y Pantallas'!$F20)),ISNUMBER(SEARCH("Todos",'Menú y Pantallas'!$F20))),"X","")</f>
        <v>X</v>
      </c>
      <c r="E20" s="9" t="str">
        <f aca="false">IF(OR(ISNUMBER(SEARCH(E$1,'Menú y Pantallas'!$F20)),ISNUMBER(SEARCH("Todos",'Menú y Pantallas'!$F20))),"X","")</f>
        <v/>
      </c>
      <c r="F20" s="9" t="str">
        <f aca="false">IF(OR(ISNUMBER(SEARCH(F$1,'Menú y Pantallas'!$F20)),ISNUMBER(SEARCH("Todos",'Menú y Pantallas'!$F20))),"X","")</f>
        <v/>
      </c>
      <c r="G20" s="9" t="str">
        <f aca="false">IF(OR(ISNUMBER(SEARCH(G$1,'Menú y Pantallas'!$F20)),ISNUMBER(SEARCH("Todos",'Menú y Pantallas'!$F20))),"X","")</f>
        <v/>
      </c>
      <c r="H20" s="9" t="str">
        <f aca="false">IF(OR(ISNUMBER(SEARCH(H$1,'Menú y Pantallas'!$F20)),ISNUMBER(SEARCH("Todos",'Menú y Pantallas'!$F20))),"X","")</f>
        <v>X</v>
      </c>
      <c r="I20" s="9" t="str">
        <f aca="false">IF(OR(ISNUMBER(SEARCH(I$1,'Menú y Pantallas'!$F20)),ISNUMBER(SEARCH("Todos",'Menú y Pantallas'!$F20))),"X","")</f>
        <v/>
      </c>
      <c r="J20" s="9" t="str">
        <f aca="false">IF(OR(ISNUMBER(SEARCH(J$1,'Menú y Pantallas'!$F20)),ISNUMBER(SEARCH("Todos",'Menú y Pantallas'!$F20))),"X","")</f>
        <v/>
      </c>
      <c r="K20" s="9" t="str">
        <f aca="false">IF(OR(ISNUMBER(SEARCH(K$1,'Menú y Pantallas'!$F20)),ISNUMBER(SEARCH("Todos",'Menú y Pantallas'!$F20))),"X","")</f>
        <v/>
      </c>
      <c r="L20" s="9" t="str">
        <f aca="false">IF(OR(ISNUMBER(SEARCH(L$1,'Menú y Pantallas'!$F20)),ISNUMBER(SEARCH("Todos",'Menú y Pantallas'!$F20))),"X","")</f>
        <v/>
      </c>
    </row>
    <row r="21" customFormat="false" ht="15" hidden="false" customHeight="false" outlineLevel="0" collapsed="false">
      <c r="A21" s="7" t="str">
        <f aca="false">'Menú y Pantallas'!C21</f>
        <v>4.6</v>
      </c>
      <c r="B21" s="8" t="str">
        <f aca="false">'Menú y Pantallas'!D21</f>
        <v>Ajustes de inventario</v>
      </c>
      <c r="C21" s="9" t="str">
        <f aca="false">IF(OR(ISNUMBER(SEARCH(C$1,'Menú y Pantallas'!$F21)),ISNUMBER(SEARCH("Todos",'Menú y Pantallas'!$F21))),"X","")</f>
        <v/>
      </c>
      <c r="D21" s="9" t="str">
        <f aca="false">IF(OR(ISNUMBER(SEARCH(D$1,'Menú y Pantallas'!$F21)),ISNUMBER(SEARCH("Todos",'Menú y Pantallas'!$F21))),"X","")</f>
        <v>X</v>
      </c>
      <c r="E21" s="9" t="str">
        <f aca="false">IF(OR(ISNUMBER(SEARCH(E$1,'Menú y Pantallas'!$F21)),ISNUMBER(SEARCH("Todos",'Menú y Pantallas'!$F21))),"X","")</f>
        <v/>
      </c>
      <c r="F21" s="9" t="str">
        <f aca="false">IF(OR(ISNUMBER(SEARCH(F$1,'Menú y Pantallas'!$F21)),ISNUMBER(SEARCH("Todos",'Menú y Pantallas'!$F21))),"X","")</f>
        <v/>
      </c>
      <c r="G21" s="9" t="str">
        <f aca="false">IF(OR(ISNUMBER(SEARCH(G$1,'Menú y Pantallas'!$F21)),ISNUMBER(SEARCH("Todos",'Menú y Pantallas'!$F21))),"X","")</f>
        <v/>
      </c>
      <c r="H21" s="9" t="str">
        <f aca="false">IF(OR(ISNUMBER(SEARCH(H$1,'Menú y Pantallas'!$F21)),ISNUMBER(SEARCH("Todos",'Menú y Pantallas'!$F21))),"X","")</f>
        <v/>
      </c>
      <c r="I21" s="9" t="str">
        <f aca="false">IF(OR(ISNUMBER(SEARCH(I$1,'Menú y Pantallas'!$F21)),ISNUMBER(SEARCH("Todos",'Menú y Pantallas'!$F21))),"X","")</f>
        <v>X</v>
      </c>
      <c r="J21" s="9" t="str">
        <f aca="false">IF(OR(ISNUMBER(SEARCH(J$1,'Menú y Pantallas'!$F21)),ISNUMBER(SEARCH("Todos",'Menú y Pantallas'!$F21))),"X","")</f>
        <v/>
      </c>
      <c r="K21" s="9" t="str">
        <f aca="false">IF(OR(ISNUMBER(SEARCH(K$1,'Menú y Pantallas'!$F21)),ISNUMBER(SEARCH("Todos",'Menú y Pantallas'!$F21))),"X","")</f>
        <v/>
      </c>
      <c r="L21" s="9" t="str">
        <f aca="false">IF(OR(ISNUMBER(SEARCH(L$1,'Menú y Pantallas'!$F21)),ISNUMBER(SEARCH("Todos",'Menú y Pantallas'!$F21))),"X","")</f>
        <v>X</v>
      </c>
    </row>
    <row r="22" customFormat="false" ht="15" hidden="false" customHeight="false" outlineLevel="0" collapsed="false">
      <c r="A22" s="7" t="str">
        <f aca="false">'Menú y Pantallas'!C22</f>
        <v>4.7</v>
      </c>
      <c r="B22" s="8" t="str">
        <f aca="false">'Menú y Pantallas'!D22</f>
        <v>Valorización</v>
      </c>
      <c r="C22" s="9" t="str">
        <f aca="false">IF(OR(ISNUMBER(SEARCH(C$1,'Menú y Pantallas'!$F22)),ISNUMBER(SEARCH("Todos",'Menú y Pantallas'!$F22))),"X","")</f>
        <v>X</v>
      </c>
      <c r="D22" s="9" t="str">
        <f aca="false">IF(OR(ISNUMBER(SEARCH(D$1,'Menú y Pantallas'!$F22)),ISNUMBER(SEARCH("Todos",'Menú y Pantallas'!$F22))),"X","")</f>
        <v/>
      </c>
      <c r="E22" s="9" t="str">
        <f aca="false">IF(OR(ISNUMBER(SEARCH(E$1,'Menú y Pantallas'!$F22)),ISNUMBER(SEARCH("Todos",'Menú y Pantallas'!$F22))),"X","")</f>
        <v/>
      </c>
      <c r="F22" s="9" t="str">
        <f aca="false">IF(OR(ISNUMBER(SEARCH(F$1,'Menú y Pantallas'!$F22)),ISNUMBER(SEARCH("Todos",'Menú y Pantallas'!$F22))),"X","")</f>
        <v/>
      </c>
      <c r="G22" s="9" t="str">
        <f aca="false">IF(OR(ISNUMBER(SEARCH(G$1,'Menú y Pantallas'!$F22)),ISNUMBER(SEARCH("Todos",'Menú y Pantallas'!$F22))),"X","")</f>
        <v/>
      </c>
      <c r="H22" s="9" t="str">
        <f aca="false">IF(OR(ISNUMBER(SEARCH(H$1,'Menú y Pantallas'!$F22)),ISNUMBER(SEARCH("Todos",'Menú y Pantallas'!$F22))),"X","")</f>
        <v/>
      </c>
      <c r="I22" s="9" t="str">
        <f aca="false">IF(OR(ISNUMBER(SEARCH(I$1,'Menú y Pantallas'!$F22)),ISNUMBER(SEARCH("Todos",'Menú y Pantallas'!$F22))),"X","")</f>
        <v>X</v>
      </c>
      <c r="J22" s="9" t="str">
        <f aca="false">IF(OR(ISNUMBER(SEARCH(J$1,'Menú y Pantallas'!$F22)),ISNUMBER(SEARCH("Todos",'Menú y Pantallas'!$F22))),"X","")</f>
        <v/>
      </c>
      <c r="K22" s="9" t="str">
        <f aca="false">IF(OR(ISNUMBER(SEARCH(K$1,'Menú y Pantallas'!$F22)),ISNUMBER(SEARCH("Todos",'Menú y Pantallas'!$F22))),"X","")</f>
        <v/>
      </c>
      <c r="L22" s="9" t="str">
        <f aca="false">IF(OR(ISNUMBER(SEARCH(L$1,'Menú y Pantallas'!$F22)),ISNUMBER(SEARCH("Todos",'Menú y Pantallas'!$F22))),"X","")</f>
        <v>X</v>
      </c>
    </row>
    <row r="23" customFormat="false" ht="15" hidden="false" customHeight="false" outlineLevel="0" collapsed="false">
      <c r="A23" s="7" t="str">
        <f aca="false">'Menú y Pantallas'!C23</f>
        <v>5.1</v>
      </c>
      <c r="B23" s="8" t="str">
        <f aca="false">'Menú y Pantallas'!D23</f>
        <v>Pedidos de salida</v>
      </c>
      <c r="C23" s="9" t="str">
        <f aca="false">IF(OR(ISNUMBER(SEARCH(C$1,'Menú y Pantallas'!$F23)),ISNUMBER(SEARCH("Todos",'Menú y Pantallas'!$F23))),"X","")</f>
        <v>X</v>
      </c>
      <c r="D23" s="9" t="str">
        <f aca="false">IF(OR(ISNUMBER(SEARCH(D$1,'Menú y Pantallas'!$F23)),ISNUMBER(SEARCH("Todos",'Menú y Pantallas'!$F23))),"X","")</f>
        <v>X</v>
      </c>
      <c r="E23" s="9" t="str">
        <f aca="false">IF(OR(ISNUMBER(SEARCH(E$1,'Menú y Pantallas'!$F23)),ISNUMBER(SEARCH("Todos",'Menú y Pantallas'!$F23))),"X","")</f>
        <v/>
      </c>
      <c r="F23" s="9" t="str">
        <f aca="false">IF(OR(ISNUMBER(SEARCH(F$1,'Menú y Pantallas'!$F23)),ISNUMBER(SEARCH("Todos",'Menú y Pantallas'!$F23))),"X","")</f>
        <v/>
      </c>
      <c r="G23" s="9" t="str">
        <f aca="false">IF(OR(ISNUMBER(SEARCH(G$1,'Menú y Pantallas'!$F23)),ISNUMBER(SEARCH("Todos",'Menú y Pantallas'!$F23))),"X","")</f>
        <v/>
      </c>
      <c r="H23" s="9" t="str">
        <f aca="false">IF(OR(ISNUMBER(SEARCH(H$1,'Menú y Pantallas'!$F23)),ISNUMBER(SEARCH("Todos",'Menú y Pantallas'!$F23))),"X","")</f>
        <v/>
      </c>
      <c r="I23" s="9" t="str">
        <f aca="false">IF(OR(ISNUMBER(SEARCH(I$1,'Menú y Pantallas'!$F23)),ISNUMBER(SEARCH("Todos",'Menú y Pantallas'!$F23))),"X","")</f>
        <v/>
      </c>
      <c r="J23" s="9" t="str">
        <f aca="false">IF(OR(ISNUMBER(SEARCH(J$1,'Menú y Pantallas'!$F23)),ISNUMBER(SEARCH("Todos",'Menú y Pantallas'!$F23))),"X","")</f>
        <v/>
      </c>
      <c r="K23" s="9" t="str">
        <f aca="false">IF(OR(ISNUMBER(SEARCH(K$1,'Menú y Pantallas'!$F23)),ISNUMBER(SEARCH("Todos",'Menú y Pantallas'!$F23))),"X","")</f>
        <v>X</v>
      </c>
      <c r="L23" s="9" t="str">
        <f aca="false">IF(OR(ISNUMBER(SEARCH(L$1,'Menú y Pantallas'!$F23)),ISNUMBER(SEARCH("Todos",'Menú y Pantallas'!$F23))),"X","")</f>
        <v/>
      </c>
    </row>
    <row r="24" customFormat="false" ht="15" hidden="false" customHeight="false" outlineLevel="0" collapsed="false">
      <c r="A24" s="7" t="str">
        <f aca="false">'Menú y Pantallas'!C24</f>
        <v>5.2</v>
      </c>
      <c r="B24" s="8" t="str">
        <f aca="false">'Menú y Pantallas'!D24</f>
        <v>Detalle de pedido</v>
      </c>
      <c r="C24" s="9" t="str">
        <f aca="false">IF(OR(ISNUMBER(SEARCH(C$1,'Menú y Pantallas'!$F24)),ISNUMBER(SEARCH("Todos",'Menú y Pantallas'!$F24))),"X","")</f>
        <v>X</v>
      </c>
      <c r="D24" s="9" t="str">
        <f aca="false">IF(OR(ISNUMBER(SEARCH(D$1,'Menú y Pantallas'!$F24)),ISNUMBER(SEARCH("Todos",'Menú y Pantallas'!$F24))),"X","")</f>
        <v>X</v>
      </c>
      <c r="E24" s="9" t="str">
        <f aca="false">IF(OR(ISNUMBER(SEARCH(E$1,'Menú y Pantallas'!$F24)),ISNUMBER(SEARCH("Todos",'Menú y Pantallas'!$F24))),"X","")</f>
        <v/>
      </c>
      <c r="F24" s="9" t="str">
        <f aca="false">IF(OR(ISNUMBER(SEARCH(F$1,'Menú y Pantallas'!$F24)),ISNUMBER(SEARCH("Todos",'Menú y Pantallas'!$F24))),"X","")</f>
        <v/>
      </c>
      <c r="G24" s="9" t="str">
        <f aca="false">IF(OR(ISNUMBER(SEARCH(G$1,'Menú y Pantallas'!$F24)),ISNUMBER(SEARCH("Todos",'Menú y Pantallas'!$F24))),"X","")</f>
        <v/>
      </c>
      <c r="H24" s="9" t="str">
        <f aca="false">IF(OR(ISNUMBER(SEARCH(H$1,'Menú y Pantallas'!$F24)),ISNUMBER(SEARCH("Todos",'Menú y Pantallas'!$F24))),"X","")</f>
        <v/>
      </c>
      <c r="I24" s="9" t="str">
        <f aca="false">IF(OR(ISNUMBER(SEARCH(I$1,'Menú y Pantallas'!$F24)),ISNUMBER(SEARCH("Todos",'Menú y Pantallas'!$F24))),"X","")</f>
        <v/>
      </c>
      <c r="J24" s="9" t="str">
        <f aca="false">IF(OR(ISNUMBER(SEARCH(J$1,'Menú y Pantallas'!$F24)),ISNUMBER(SEARCH("Todos",'Menú y Pantallas'!$F24))),"X","")</f>
        <v/>
      </c>
      <c r="K24" s="9" t="str">
        <f aca="false">IF(OR(ISNUMBER(SEARCH(K$1,'Menú y Pantallas'!$F24)),ISNUMBER(SEARCH("Todos",'Menú y Pantallas'!$F24))),"X","")</f>
        <v>X</v>
      </c>
      <c r="L24" s="9" t="str">
        <f aca="false">IF(OR(ISNUMBER(SEARCH(L$1,'Menú y Pantallas'!$F24)),ISNUMBER(SEARCH("Todos",'Menú y Pantallas'!$F24))),"X","")</f>
        <v/>
      </c>
    </row>
    <row r="25" customFormat="false" ht="15" hidden="false" customHeight="false" outlineLevel="0" collapsed="false">
      <c r="A25" s="7" t="str">
        <f aca="false">'Menú y Pantallas'!C25</f>
        <v>5.3</v>
      </c>
      <c r="B25" s="8" t="str">
        <f aca="false">'Menú y Pantallas'!D25</f>
        <v>Backorders y faltantes</v>
      </c>
      <c r="C25" s="9" t="str">
        <f aca="false">IF(OR(ISNUMBER(SEARCH(C$1,'Menú y Pantallas'!$F25)),ISNUMBER(SEARCH("Todos",'Menú y Pantallas'!$F25))),"X","")</f>
        <v/>
      </c>
      <c r="D25" s="9" t="str">
        <f aca="false">IF(OR(ISNUMBER(SEARCH(D$1,'Menú y Pantallas'!$F25)),ISNUMBER(SEARCH("Todos",'Menú y Pantallas'!$F25))),"X","")</f>
        <v>X</v>
      </c>
      <c r="E25" s="9" t="str">
        <f aca="false">IF(OR(ISNUMBER(SEARCH(E$1,'Menú y Pantallas'!$F25)),ISNUMBER(SEARCH("Todos",'Menú y Pantallas'!$F25))),"X","")</f>
        <v/>
      </c>
      <c r="F25" s="9" t="str">
        <f aca="false">IF(OR(ISNUMBER(SEARCH(F$1,'Menú y Pantallas'!$F25)),ISNUMBER(SEARCH("Todos",'Menú y Pantallas'!$F25))),"X","")</f>
        <v/>
      </c>
      <c r="G25" s="9" t="str">
        <f aca="false">IF(OR(ISNUMBER(SEARCH(G$1,'Menú y Pantallas'!$F25)),ISNUMBER(SEARCH("Todos",'Menú y Pantallas'!$F25))),"X","")</f>
        <v/>
      </c>
      <c r="H25" s="9" t="str">
        <f aca="false">IF(OR(ISNUMBER(SEARCH(H$1,'Menú y Pantallas'!$F25)),ISNUMBER(SEARCH("Todos",'Menú y Pantallas'!$F25))),"X","")</f>
        <v/>
      </c>
      <c r="I25" s="9" t="str">
        <f aca="false">IF(OR(ISNUMBER(SEARCH(I$1,'Menú y Pantallas'!$F25)),ISNUMBER(SEARCH("Todos",'Menú y Pantallas'!$F25))),"X","")</f>
        <v/>
      </c>
      <c r="J25" s="9" t="str">
        <f aca="false">IF(OR(ISNUMBER(SEARCH(J$1,'Menú y Pantallas'!$F25)),ISNUMBER(SEARCH("Todos",'Menú y Pantallas'!$F25))),"X","")</f>
        <v>X</v>
      </c>
      <c r="K25" s="9" t="str">
        <f aca="false">IF(OR(ISNUMBER(SEARCH(K$1,'Menú y Pantallas'!$F25)),ISNUMBER(SEARCH("Todos",'Menú y Pantallas'!$F25))),"X","")</f>
        <v/>
      </c>
      <c r="L25" s="9" t="str">
        <f aca="false">IF(OR(ISNUMBER(SEARCH(L$1,'Menú y Pantallas'!$F25)),ISNUMBER(SEARCH("Todos",'Menú y Pantallas'!$F25))),"X","")</f>
        <v/>
      </c>
    </row>
    <row r="26" customFormat="false" ht="15" hidden="false" customHeight="false" outlineLevel="0" collapsed="false">
      <c r="A26" s="7" t="str">
        <f aca="false">'Menú y Pantallas'!C26</f>
        <v>5.4</v>
      </c>
      <c r="B26" s="8" t="str">
        <f aca="false">'Menú y Pantallas'!D26</f>
        <v>Cancelaciones y cambios</v>
      </c>
      <c r="C26" s="9" t="str">
        <f aca="false">IF(OR(ISNUMBER(SEARCH(C$1,'Menú y Pantallas'!$F26)),ISNUMBER(SEARCH("Todos",'Menú y Pantallas'!$F26))),"X","")</f>
        <v/>
      </c>
      <c r="D26" s="9" t="str">
        <f aca="false">IF(OR(ISNUMBER(SEARCH(D$1,'Menú y Pantallas'!$F26)),ISNUMBER(SEARCH("Todos",'Menú y Pantallas'!$F26))),"X","")</f>
        <v>X</v>
      </c>
      <c r="E26" s="9" t="str">
        <f aca="false">IF(OR(ISNUMBER(SEARCH(E$1,'Menú y Pantallas'!$F26)),ISNUMBER(SEARCH("Todos",'Menú y Pantallas'!$F26))),"X","")</f>
        <v/>
      </c>
      <c r="F26" s="9" t="str">
        <f aca="false">IF(OR(ISNUMBER(SEARCH(F$1,'Menú y Pantallas'!$F26)),ISNUMBER(SEARCH("Todos",'Menú y Pantallas'!$F26))),"X","")</f>
        <v/>
      </c>
      <c r="G26" s="9" t="str">
        <f aca="false">IF(OR(ISNUMBER(SEARCH(G$1,'Menú y Pantallas'!$F26)),ISNUMBER(SEARCH("Todos",'Menú y Pantallas'!$F26))),"X","")</f>
        <v/>
      </c>
      <c r="H26" s="9" t="str">
        <f aca="false">IF(OR(ISNUMBER(SEARCH(H$1,'Menú y Pantallas'!$F26)),ISNUMBER(SEARCH("Todos",'Menú y Pantallas'!$F26))),"X","")</f>
        <v/>
      </c>
      <c r="I26" s="9" t="str">
        <f aca="false">IF(OR(ISNUMBER(SEARCH(I$1,'Menú y Pantallas'!$F26)),ISNUMBER(SEARCH("Todos",'Menú y Pantallas'!$F26))),"X","")</f>
        <v/>
      </c>
      <c r="J26" s="9" t="str">
        <f aca="false">IF(OR(ISNUMBER(SEARCH(J$1,'Menú y Pantallas'!$F26)),ISNUMBER(SEARCH("Todos",'Menú y Pantallas'!$F26))),"X","")</f>
        <v/>
      </c>
      <c r="K26" s="9" t="str">
        <f aca="false">IF(OR(ISNUMBER(SEARCH(K$1,'Menú y Pantallas'!$F26)),ISNUMBER(SEARCH("Todos",'Menú y Pantallas'!$F26))),"X","")</f>
        <v/>
      </c>
      <c r="L26" s="9" t="str">
        <f aca="false">IF(OR(ISNUMBER(SEARCH(L$1,'Menú y Pantallas'!$F26)),ISNUMBER(SEARCH("Todos",'Menú y Pantallas'!$F26))),"X","")</f>
        <v/>
      </c>
    </row>
    <row r="27" customFormat="false" ht="15" hidden="false" customHeight="false" outlineLevel="0" collapsed="false">
      <c r="A27" s="7" t="str">
        <f aca="false">'Menú y Pantallas'!C27</f>
        <v>5.5</v>
      </c>
      <c r="B27" s="8" t="str">
        <f aca="false">'Menú y Pantallas'!D27</f>
        <v>Monitor de API de ventas</v>
      </c>
      <c r="C27" s="9" t="str">
        <f aca="false">IF(OR(ISNUMBER(SEARCH(C$1,'Menú y Pantallas'!$F27)),ISNUMBER(SEARCH("Todos",'Menú y Pantallas'!$F27))),"X","")</f>
        <v>X</v>
      </c>
      <c r="D27" s="9" t="str">
        <f aca="false">IF(OR(ISNUMBER(SEARCH(D$1,'Menú y Pantallas'!$F27)),ISNUMBER(SEARCH("Todos",'Menú y Pantallas'!$F27))),"X","")</f>
        <v/>
      </c>
      <c r="E27" s="9" t="str">
        <f aca="false">IF(OR(ISNUMBER(SEARCH(E$1,'Menú y Pantallas'!$F27)),ISNUMBER(SEARCH("Todos",'Menú y Pantallas'!$F27))),"X","")</f>
        <v/>
      </c>
      <c r="F27" s="9" t="str">
        <f aca="false">IF(OR(ISNUMBER(SEARCH(F$1,'Menú y Pantallas'!$F27)),ISNUMBER(SEARCH("Todos",'Menú y Pantallas'!$F27))),"X","")</f>
        <v/>
      </c>
      <c r="G27" s="9" t="str">
        <f aca="false">IF(OR(ISNUMBER(SEARCH(G$1,'Menú y Pantallas'!$F27)),ISNUMBER(SEARCH("Todos",'Menú y Pantallas'!$F27))),"X","")</f>
        <v/>
      </c>
      <c r="H27" s="9" t="str">
        <f aca="false">IF(OR(ISNUMBER(SEARCH(H$1,'Menú y Pantallas'!$F27)),ISNUMBER(SEARCH("Todos",'Menú y Pantallas'!$F27))),"X","")</f>
        <v/>
      </c>
      <c r="I27" s="9" t="str">
        <f aca="false">IF(OR(ISNUMBER(SEARCH(I$1,'Menú y Pantallas'!$F27)),ISNUMBER(SEARCH("Todos",'Menú y Pantallas'!$F27))),"X","")</f>
        <v/>
      </c>
      <c r="J27" s="9" t="str">
        <f aca="false">IF(OR(ISNUMBER(SEARCH(J$1,'Menú y Pantallas'!$F27)),ISNUMBER(SEARCH("Todos",'Menú y Pantallas'!$F27))),"X","")</f>
        <v/>
      </c>
      <c r="K27" s="9" t="str">
        <f aca="false">IF(OR(ISNUMBER(SEARCH(K$1,'Menú y Pantallas'!$F27)),ISNUMBER(SEARCH("Todos",'Menú y Pantallas'!$F27))),"X","")</f>
        <v/>
      </c>
      <c r="L27" s="9" t="str">
        <f aca="false">IF(OR(ISNUMBER(SEARCH(L$1,'Menú y Pantallas'!$F27)),ISNUMBER(SEARCH("Todos",'Menú y Pantallas'!$F27))),"X","")</f>
        <v/>
      </c>
    </row>
    <row r="28" customFormat="false" ht="15" hidden="false" customHeight="false" outlineLevel="0" collapsed="false">
      <c r="A28" s="7" t="str">
        <f aca="false">'Menú y Pantallas'!C28</f>
        <v>5.6</v>
      </c>
      <c r="B28" s="8" t="str">
        <f aca="false">'Menú y Pantallas'!D28</f>
        <v>Sincronización saliente</v>
      </c>
      <c r="C28" s="9" t="str">
        <f aca="false">IF(OR(ISNUMBER(SEARCH(C$1,'Menú y Pantallas'!$F28)),ISNUMBER(SEARCH("Todos",'Menú y Pantallas'!$F28))),"X","")</f>
        <v>X</v>
      </c>
      <c r="D28" s="9" t="str">
        <f aca="false">IF(OR(ISNUMBER(SEARCH(D$1,'Menú y Pantallas'!$F28)),ISNUMBER(SEARCH("Todos",'Menú y Pantallas'!$F28))),"X","")</f>
        <v/>
      </c>
      <c r="E28" s="9" t="str">
        <f aca="false">IF(OR(ISNUMBER(SEARCH(E$1,'Menú y Pantallas'!$F28)),ISNUMBER(SEARCH("Todos",'Menú y Pantallas'!$F28))),"X","")</f>
        <v/>
      </c>
      <c r="F28" s="9" t="str">
        <f aca="false">IF(OR(ISNUMBER(SEARCH(F$1,'Menú y Pantallas'!$F28)),ISNUMBER(SEARCH("Todos",'Menú y Pantallas'!$F28))),"X","")</f>
        <v/>
      </c>
      <c r="G28" s="9" t="str">
        <f aca="false">IF(OR(ISNUMBER(SEARCH(G$1,'Menú y Pantallas'!$F28)),ISNUMBER(SEARCH("Todos",'Menú y Pantallas'!$F28))),"X","")</f>
        <v/>
      </c>
      <c r="H28" s="9" t="str">
        <f aca="false">IF(OR(ISNUMBER(SEARCH(H$1,'Menú y Pantallas'!$F28)),ISNUMBER(SEARCH("Todos",'Menú y Pantallas'!$F28))),"X","")</f>
        <v/>
      </c>
      <c r="I28" s="9" t="str">
        <f aca="false">IF(OR(ISNUMBER(SEARCH(I$1,'Menú y Pantallas'!$F28)),ISNUMBER(SEARCH("Todos",'Menú y Pantallas'!$F28))),"X","")</f>
        <v/>
      </c>
      <c r="J28" s="9" t="str">
        <f aca="false">IF(OR(ISNUMBER(SEARCH(J$1,'Menú y Pantallas'!$F28)),ISNUMBER(SEARCH("Todos",'Menú y Pantallas'!$F28))),"X","")</f>
        <v/>
      </c>
      <c r="K28" s="9" t="str">
        <f aca="false">IF(OR(ISNUMBER(SEARCH(K$1,'Menú y Pantallas'!$F28)),ISNUMBER(SEARCH("Todos",'Menú y Pantallas'!$F28))),"X","")</f>
        <v/>
      </c>
      <c r="L28" s="9" t="str">
        <f aca="false">IF(OR(ISNUMBER(SEARCH(L$1,'Menú y Pantallas'!$F28)),ISNUMBER(SEARCH("Todos",'Menú y Pantallas'!$F28))),"X","")</f>
        <v/>
      </c>
    </row>
    <row r="29" customFormat="false" ht="15" hidden="false" customHeight="false" outlineLevel="0" collapsed="false">
      <c r="A29" s="7" t="str">
        <f aca="false">'Menú y Pantallas'!C29</f>
        <v>5.7</v>
      </c>
      <c r="B29" s="8" t="str">
        <f aca="false">'Menú y Pantallas'!D29</f>
        <v>Kits y combos</v>
      </c>
      <c r="C29" s="9" t="str">
        <f aca="false">IF(OR(ISNUMBER(SEARCH(C$1,'Menú y Pantallas'!$F29)),ISNUMBER(SEARCH("Todos",'Menú y Pantallas'!$F29))),"X","")</f>
        <v>X</v>
      </c>
      <c r="D29" s="9" t="str">
        <f aca="false">IF(OR(ISNUMBER(SEARCH(D$1,'Menú y Pantallas'!$F29)),ISNUMBER(SEARCH("Todos",'Menú y Pantallas'!$F29))),"X","")</f>
        <v>X</v>
      </c>
      <c r="E29" s="9" t="str">
        <f aca="false">IF(OR(ISNUMBER(SEARCH(E$1,'Menú y Pantallas'!$F29)),ISNUMBER(SEARCH("Todos",'Menú y Pantallas'!$F29))),"X","")</f>
        <v/>
      </c>
      <c r="F29" s="9" t="str">
        <f aca="false">IF(OR(ISNUMBER(SEARCH(F$1,'Menú y Pantallas'!$F29)),ISNUMBER(SEARCH("Todos",'Menú y Pantallas'!$F29))),"X","")</f>
        <v/>
      </c>
      <c r="G29" s="9" t="str">
        <f aca="false">IF(OR(ISNUMBER(SEARCH(G$1,'Menú y Pantallas'!$F29)),ISNUMBER(SEARCH("Todos",'Menú y Pantallas'!$F29))),"X","")</f>
        <v/>
      </c>
      <c r="H29" s="9" t="str">
        <f aca="false">IF(OR(ISNUMBER(SEARCH(H$1,'Menú y Pantallas'!$F29)),ISNUMBER(SEARCH("Todos",'Menú y Pantallas'!$F29))),"X","")</f>
        <v/>
      </c>
      <c r="I29" s="9" t="str">
        <f aca="false">IF(OR(ISNUMBER(SEARCH(I$1,'Menú y Pantallas'!$F29)),ISNUMBER(SEARCH("Todos",'Menú y Pantallas'!$F29))),"X","")</f>
        <v/>
      </c>
      <c r="J29" s="9" t="str">
        <f aca="false">IF(OR(ISNUMBER(SEARCH(J$1,'Menú y Pantallas'!$F29)),ISNUMBER(SEARCH("Todos",'Menú y Pantallas'!$F29))),"X","")</f>
        <v/>
      </c>
      <c r="K29" s="9" t="str">
        <f aca="false">IF(OR(ISNUMBER(SEARCH(K$1,'Menú y Pantallas'!$F29)),ISNUMBER(SEARCH("Todos",'Menú y Pantallas'!$F29))),"X","")</f>
        <v/>
      </c>
      <c r="L29" s="9" t="str">
        <f aca="false">IF(OR(ISNUMBER(SEARCH(L$1,'Menú y Pantallas'!$F29)),ISNUMBER(SEARCH("Todos",'Menú y Pantallas'!$F29))),"X","")</f>
        <v/>
      </c>
    </row>
    <row r="30" customFormat="false" ht="15" hidden="false" customHeight="false" outlineLevel="0" collapsed="false">
      <c r="A30" s="7" t="str">
        <f aca="false">'Menú y Pantallas'!C30</f>
        <v>6.1</v>
      </c>
      <c r="B30" s="8" t="str">
        <f aca="false">'Menú y Pantallas'!D30</f>
        <v>Necesidad de compra</v>
      </c>
      <c r="C30" s="9" t="str">
        <f aca="false">IF(OR(ISNUMBER(SEARCH(C$1,'Menú y Pantallas'!$F30)),ISNUMBER(SEARCH("Todos",'Menú y Pantallas'!$F30))),"X","")</f>
        <v/>
      </c>
      <c r="D30" s="9" t="str">
        <f aca="false">IF(OR(ISNUMBER(SEARCH(D$1,'Menú y Pantallas'!$F30)),ISNUMBER(SEARCH("Todos",'Menú y Pantallas'!$F30))),"X","")</f>
        <v>X</v>
      </c>
      <c r="E30" s="9" t="str">
        <f aca="false">IF(OR(ISNUMBER(SEARCH(E$1,'Menú y Pantallas'!$F30)),ISNUMBER(SEARCH("Todos",'Menú y Pantallas'!$F30))),"X","")</f>
        <v/>
      </c>
      <c r="F30" s="9" t="str">
        <f aca="false">IF(OR(ISNUMBER(SEARCH(F$1,'Menú y Pantallas'!$F30)),ISNUMBER(SEARCH("Todos",'Menú y Pantallas'!$F30))),"X","")</f>
        <v/>
      </c>
      <c r="G30" s="9" t="str">
        <f aca="false">IF(OR(ISNUMBER(SEARCH(G$1,'Menú y Pantallas'!$F30)),ISNUMBER(SEARCH("Todos",'Menú y Pantallas'!$F30))),"X","")</f>
        <v/>
      </c>
      <c r="H30" s="9" t="str">
        <f aca="false">IF(OR(ISNUMBER(SEARCH(H$1,'Menú y Pantallas'!$F30)),ISNUMBER(SEARCH("Todos",'Menú y Pantallas'!$F30))),"X","")</f>
        <v/>
      </c>
      <c r="I30" s="9" t="str">
        <f aca="false">IF(OR(ISNUMBER(SEARCH(I$1,'Menú y Pantallas'!$F30)),ISNUMBER(SEARCH("Todos",'Menú y Pantallas'!$F30))),"X","")</f>
        <v/>
      </c>
      <c r="J30" s="9" t="str">
        <f aca="false">IF(OR(ISNUMBER(SEARCH(J$1,'Menú y Pantallas'!$F30)),ISNUMBER(SEARCH("Todos",'Menú y Pantallas'!$F30))),"X","")</f>
        <v>X</v>
      </c>
      <c r="K30" s="9" t="str">
        <f aca="false">IF(OR(ISNUMBER(SEARCH(K$1,'Menú y Pantallas'!$F30)),ISNUMBER(SEARCH("Todos",'Menú y Pantallas'!$F30))),"X","")</f>
        <v/>
      </c>
      <c r="L30" s="9" t="str">
        <f aca="false">IF(OR(ISNUMBER(SEARCH(L$1,'Menú y Pantallas'!$F30)),ISNUMBER(SEARCH("Todos",'Menú y Pantallas'!$F30))),"X","")</f>
        <v/>
      </c>
    </row>
    <row r="31" customFormat="false" ht="15" hidden="false" customHeight="false" outlineLevel="0" collapsed="false">
      <c r="A31" s="7" t="str">
        <f aca="false">'Menú y Pantallas'!C31</f>
        <v>6.2</v>
      </c>
      <c r="B31" s="8" t="str">
        <f aca="false">'Menú y Pantallas'!D31</f>
        <v>Sugerencias de OC</v>
      </c>
      <c r="C31" s="9" t="str">
        <f aca="false">IF(OR(ISNUMBER(SEARCH(C$1,'Menú y Pantallas'!$F31)),ISNUMBER(SEARCH("Todos",'Menú y Pantallas'!$F31))),"X","")</f>
        <v/>
      </c>
      <c r="D31" s="9" t="str">
        <f aca="false">IF(OR(ISNUMBER(SEARCH(D$1,'Menú y Pantallas'!$F31)),ISNUMBER(SEARCH("Todos",'Menú y Pantallas'!$F31))),"X","")</f>
        <v/>
      </c>
      <c r="E31" s="9" t="str">
        <f aca="false">IF(OR(ISNUMBER(SEARCH(E$1,'Menú y Pantallas'!$F31)),ISNUMBER(SEARCH("Todos",'Menú y Pantallas'!$F31))),"X","")</f>
        <v/>
      </c>
      <c r="F31" s="9" t="str">
        <f aca="false">IF(OR(ISNUMBER(SEARCH(F$1,'Menú y Pantallas'!$F31)),ISNUMBER(SEARCH("Todos",'Menú y Pantallas'!$F31))),"X","")</f>
        <v/>
      </c>
      <c r="G31" s="9" t="str">
        <f aca="false">IF(OR(ISNUMBER(SEARCH(G$1,'Menú y Pantallas'!$F31)),ISNUMBER(SEARCH("Todos",'Menú y Pantallas'!$F31))),"X","")</f>
        <v/>
      </c>
      <c r="H31" s="9" t="str">
        <f aca="false">IF(OR(ISNUMBER(SEARCH(H$1,'Menú y Pantallas'!$F31)),ISNUMBER(SEARCH("Todos",'Menú y Pantallas'!$F31))),"X","")</f>
        <v/>
      </c>
      <c r="I31" s="9" t="str">
        <f aca="false">IF(OR(ISNUMBER(SEARCH(I$1,'Menú y Pantallas'!$F31)),ISNUMBER(SEARCH("Todos",'Menú y Pantallas'!$F31))),"X","")</f>
        <v/>
      </c>
      <c r="J31" s="9" t="str">
        <f aca="false">IF(OR(ISNUMBER(SEARCH(J$1,'Menú y Pantallas'!$F31)),ISNUMBER(SEARCH("Todos",'Menú y Pantallas'!$F31))),"X","")</f>
        <v>X</v>
      </c>
      <c r="K31" s="9" t="str">
        <f aca="false">IF(OR(ISNUMBER(SEARCH(K$1,'Menú y Pantallas'!$F31)),ISNUMBER(SEARCH("Todos",'Menú y Pantallas'!$F31))),"X","")</f>
        <v/>
      </c>
      <c r="L31" s="9" t="str">
        <f aca="false">IF(OR(ISNUMBER(SEARCH(L$1,'Menú y Pantallas'!$F31)),ISNUMBER(SEARCH("Todos",'Menú y Pantallas'!$F31))),"X","")</f>
        <v>X</v>
      </c>
    </row>
    <row r="32" customFormat="false" ht="15" hidden="false" customHeight="false" outlineLevel="0" collapsed="false">
      <c r="A32" s="7" t="str">
        <f aca="false">'Menú y Pantallas'!C32</f>
        <v>6.3</v>
      </c>
      <c r="B32" s="8" t="str">
        <f aca="false">'Menú y Pantallas'!D32</f>
        <v>Órdenes de compra</v>
      </c>
      <c r="C32" s="9" t="str">
        <f aca="false">IF(OR(ISNUMBER(SEARCH(C$1,'Menú y Pantallas'!$F32)),ISNUMBER(SEARCH("Todos",'Menú y Pantallas'!$F32))),"X","")</f>
        <v/>
      </c>
      <c r="D32" s="9" t="str">
        <f aca="false">IF(OR(ISNUMBER(SEARCH(D$1,'Menú y Pantallas'!$F32)),ISNUMBER(SEARCH("Todos",'Menú y Pantallas'!$F32))),"X","")</f>
        <v/>
      </c>
      <c r="E32" s="9" t="str">
        <f aca="false">IF(OR(ISNUMBER(SEARCH(E$1,'Menú y Pantallas'!$F32)),ISNUMBER(SEARCH("Todos",'Menú y Pantallas'!$F32))),"X","")</f>
        <v/>
      </c>
      <c r="F32" s="9" t="str">
        <f aca="false">IF(OR(ISNUMBER(SEARCH(F$1,'Menú y Pantallas'!$F32)),ISNUMBER(SEARCH("Todos",'Menú y Pantallas'!$F32))),"X","")</f>
        <v/>
      </c>
      <c r="G32" s="9" t="str">
        <f aca="false">IF(OR(ISNUMBER(SEARCH(G$1,'Menú y Pantallas'!$F32)),ISNUMBER(SEARCH("Todos",'Menú y Pantallas'!$F32))),"X","")</f>
        <v/>
      </c>
      <c r="H32" s="9" t="str">
        <f aca="false">IF(OR(ISNUMBER(SEARCH(H$1,'Menú y Pantallas'!$F32)),ISNUMBER(SEARCH("Todos",'Menú y Pantallas'!$F32))),"X","")</f>
        <v/>
      </c>
      <c r="I32" s="9" t="str">
        <f aca="false">IF(OR(ISNUMBER(SEARCH(I$1,'Menú y Pantallas'!$F32)),ISNUMBER(SEARCH("Todos",'Menú y Pantallas'!$F32))),"X","")</f>
        <v/>
      </c>
      <c r="J32" s="9" t="str">
        <f aca="false">IF(OR(ISNUMBER(SEARCH(J$1,'Menú y Pantallas'!$F32)),ISNUMBER(SEARCH("Todos",'Menú y Pantallas'!$F32))),"X","")</f>
        <v>X</v>
      </c>
      <c r="K32" s="9" t="str">
        <f aca="false">IF(OR(ISNUMBER(SEARCH(K$1,'Menú y Pantallas'!$F32)),ISNUMBER(SEARCH("Todos",'Menú y Pantallas'!$F32))),"X","")</f>
        <v/>
      </c>
      <c r="L32" s="9" t="str">
        <f aca="false">IF(OR(ISNUMBER(SEARCH(L$1,'Menú y Pantallas'!$F32)),ISNUMBER(SEARCH("Todos",'Menú y Pantallas'!$F32))),"X","")</f>
        <v/>
      </c>
    </row>
    <row r="33" customFormat="false" ht="15" hidden="false" customHeight="false" outlineLevel="0" collapsed="false">
      <c r="A33" s="7" t="str">
        <f aca="false">'Menú y Pantallas'!C33</f>
        <v>6.4</v>
      </c>
      <c r="B33" s="8" t="str">
        <f aca="false">'Menú y Pantallas'!D33</f>
        <v>OC en tránsito</v>
      </c>
      <c r="C33" s="9" t="str">
        <f aca="false">IF(OR(ISNUMBER(SEARCH(C$1,'Menú y Pantallas'!$F33)),ISNUMBER(SEARCH("Todos",'Menú y Pantallas'!$F33))),"X","")</f>
        <v/>
      </c>
      <c r="D33" s="9" t="str">
        <f aca="false">IF(OR(ISNUMBER(SEARCH(D$1,'Menú y Pantallas'!$F33)),ISNUMBER(SEARCH("Todos",'Menú y Pantallas'!$F33))),"X","")</f>
        <v>X</v>
      </c>
      <c r="E33" s="9" t="str">
        <f aca="false">IF(OR(ISNUMBER(SEARCH(E$1,'Menú y Pantallas'!$F33)),ISNUMBER(SEARCH("Todos",'Menú y Pantallas'!$F33))),"X","")</f>
        <v/>
      </c>
      <c r="F33" s="9" t="str">
        <f aca="false">IF(OR(ISNUMBER(SEARCH(F$1,'Menú y Pantallas'!$F33)),ISNUMBER(SEARCH("Todos",'Menú y Pantallas'!$F33))),"X","")</f>
        <v/>
      </c>
      <c r="G33" s="9" t="str">
        <f aca="false">IF(OR(ISNUMBER(SEARCH(G$1,'Menú y Pantallas'!$F33)),ISNUMBER(SEARCH("Todos",'Menú y Pantallas'!$F33))),"X","")</f>
        <v/>
      </c>
      <c r="H33" s="9" t="str">
        <f aca="false">IF(OR(ISNUMBER(SEARCH(H$1,'Menú y Pantallas'!$F33)),ISNUMBER(SEARCH("Todos",'Menú y Pantallas'!$F33))),"X","")</f>
        <v/>
      </c>
      <c r="I33" s="9" t="str">
        <f aca="false">IF(OR(ISNUMBER(SEARCH(I$1,'Menú y Pantallas'!$F33)),ISNUMBER(SEARCH("Todos",'Menú y Pantallas'!$F33))),"X","")</f>
        <v/>
      </c>
      <c r="J33" s="9" t="str">
        <f aca="false">IF(OR(ISNUMBER(SEARCH(J$1,'Menú y Pantallas'!$F33)),ISNUMBER(SEARCH("Todos",'Menú y Pantallas'!$F33))),"X","")</f>
        <v>X</v>
      </c>
      <c r="K33" s="9" t="str">
        <f aca="false">IF(OR(ISNUMBER(SEARCH(K$1,'Menú y Pantallas'!$F33)),ISNUMBER(SEARCH("Todos",'Menú y Pantallas'!$F33))),"X","")</f>
        <v/>
      </c>
      <c r="L33" s="9" t="str">
        <f aca="false">IF(OR(ISNUMBER(SEARCH(L$1,'Menú y Pantallas'!$F33)),ISNUMBER(SEARCH("Todos",'Menú y Pantallas'!$F33))),"X","")</f>
        <v/>
      </c>
    </row>
    <row r="34" customFormat="false" ht="15" hidden="false" customHeight="false" outlineLevel="0" collapsed="false">
      <c r="A34" s="7" t="str">
        <f aca="false">'Menú y Pantallas'!C34</f>
        <v>6.5</v>
      </c>
      <c r="B34" s="8" t="str">
        <f aca="false">'Menú y Pantallas'!D34</f>
        <v>Proveedores</v>
      </c>
      <c r="C34" s="9" t="str">
        <f aca="false">IF(OR(ISNUMBER(SEARCH(C$1,'Menú y Pantallas'!$F34)),ISNUMBER(SEARCH("Todos",'Menú y Pantallas'!$F34))),"X","")</f>
        <v>X</v>
      </c>
      <c r="D34" s="9" t="str">
        <f aca="false">IF(OR(ISNUMBER(SEARCH(D$1,'Menú y Pantallas'!$F34)),ISNUMBER(SEARCH("Todos",'Menú y Pantallas'!$F34))),"X","")</f>
        <v/>
      </c>
      <c r="E34" s="9" t="str">
        <f aca="false">IF(OR(ISNUMBER(SEARCH(E$1,'Menú y Pantallas'!$F34)),ISNUMBER(SEARCH("Todos",'Menú y Pantallas'!$F34))),"X","")</f>
        <v/>
      </c>
      <c r="F34" s="9" t="str">
        <f aca="false">IF(OR(ISNUMBER(SEARCH(F$1,'Menú y Pantallas'!$F34)),ISNUMBER(SEARCH("Todos",'Menú y Pantallas'!$F34))),"X","")</f>
        <v/>
      </c>
      <c r="G34" s="9" t="str">
        <f aca="false">IF(OR(ISNUMBER(SEARCH(G$1,'Menú y Pantallas'!$F34)),ISNUMBER(SEARCH("Todos",'Menú y Pantallas'!$F34))),"X","")</f>
        <v/>
      </c>
      <c r="H34" s="9" t="str">
        <f aca="false">IF(OR(ISNUMBER(SEARCH(H$1,'Menú y Pantallas'!$F34)),ISNUMBER(SEARCH("Todos",'Menú y Pantallas'!$F34))),"X","")</f>
        <v/>
      </c>
      <c r="I34" s="9" t="str">
        <f aca="false">IF(OR(ISNUMBER(SEARCH(I$1,'Menú y Pantallas'!$F34)),ISNUMBER(SEARCH("Todos",'Menú y Pantallas'!$F34))),"X","")</f>
        <v/>
      </c>
      <c r="J34" s="9" t="str">
        <f aca="false">IF(OR(ISNUMBER(SEARCH(J$1,'Menú y Pantallas'!$F34)),ISNUMBER(SEARCH("Todos",'Menú y Pantallas'!$F34))),"X","")</f>
        <v>X</v>
      </c>
      <c r="K34" s="9" t="str">
        <f aca="false">IF(OR(ISNUMBER(SEARCH(K$1,'Menú y Pantallas'!$F34)),ISNUMBER(SEARCH("Todos",'Menú y Pantallas'!$F34))),"X","")</f>
        <v/>
      </c>
      <c r="L34" s="9" t="str">
        <f aca="false">IF(OR(ISNUMBER(SEARCH(L$1,'Menú y Pantallas'!$F34)),ISNUMBER(SEARCH("Todos",'Menú y Pantallas'!$F34))),"X","")</f>
        <v/>
      </c>
    </row>
    <row r="35" customFormat="false" ht="15" hidden="false" customHeight="false" outlineLevel="0" collapsed="false">
      <c r="A35" s="7" t="str">
        <f aca="false">'Menú y Pantallas'!C35</f>
        <v>7.1</v>
      </c>
      <c r="B35" s="8" t="str">
        <f aca="false">'Menú y Pantallas'!D35</f>
        <v>Cola de preparación</v>
      </c>
      <c r="C35" s="9" t="str">
        <f aca="false">IF(OR(ISNUMBER(SEARCH(C$1,'Menú y Pantallas'!$F35)),ISNUMBER(SEARCH("Todos",'Menú y Pantallas'!$F35))),"X","")</f>
        <v/>
      </c>
      <c r="D35" s="9" t="str">
        <f aca="false">IF(OR(ISNUMBER(SEARCH(D$1,'Menú y Pantallas'!$F35)),ISNUMBER(SEARCH("Todos",'Menú y Pantallas'!$F35))),"X","")</f>
        <v>X</v>
      </c>
      <c r="E35" s="9" t="str">
        <f aca="false">IF(OR(ISNUMBER(SEARCH(E$1,'Menú y Pantallas'!$F35)),ISNUMBER(SEARCH("Todos",'Menú y Pantallas'!$F35))),"X","")</f>
        <v/>
      </c>
      <c r="F35" s="9" t="str">
        <f aca="false">IF(OR(ISNUMBER(SEARCH(F$1,'Menú y Pantallas'!$F35)),ISNUMBER(SEARCH("Todos",'Menú y Pantallas'!$F35))),"X","")</f>
        <v/>
      </c>
      <c r="G35" s="9" t="str">
        <f aca="false">IF(OR(ISNUMBER(SEARCH(G$1,'Menú y Pantallas'!$F35)),ISNUMBER(SEARCH("Todos",'Menú y Pantallas'!$F35))),"X","")</f>
        <v/>
      </c>
      <c r="H35" s="9" t="str">
        <f aca="false">IF(OR(ISNUMBER(SEARCH(H$1,'Menú y Pantallas'!$F35)),ISNUMBER(SEARCH("Todos",'Menú y Pantallas'!$F35))),"X","")</f>
        <v/>
      </c>
      <c r="I35" s="9" t="str">
        <f aca="false">IF(OR(ISNUMBER(SEARCH(I$1,'Menú y Pantallas'!$F35)),ISNUMBER(SEARCH("Todos",'Menú y Pantallas'!$F35))),"X","")</f>
        <v/>
      </c>
      <c r="J35" s="9" t="str">
        <f aca="false">IF(OR(ISNUMBER(SEARCH(J$1,'Menú y Pantallas'!$F35)),ISNUMBER(SEARCH("Todos",'Menú y Pantallas'!$F35))),"X","")</f>
        <v/>
      </c>
      <c r="K35" s="9" t="str">
        <f aca="false">IF(OR(ISNUMBER(SEARCH(K$1,'Menú y Pantallas'!$F35)),ISNUMBER(SEARCH("Todos",'Menú y Pantallas'!$F35))),"X","")</f>
        <v/>
      </c>
      <c r="L35" s="9" t="str">
        <f aca="false">IF(OR(ISNUMBER(SEARCH(L$1,'Menú y Pantallas'!$F35)),ISNUMBER(SEARCH("Todos",'Menú y Pantallas'!$F35))),"X","")</f>
        <v/>
      </c>
    </row>
    <row r="36" customFormat="false" ht="15" hidden="false" customHeight="false" outlineLevel="0" collapsed="false">
      <c r="A36" s="7" t="str">
        <f aca="false">'Menú y Pantallas'!C36</f>
        <v>7.2</v>
      </c>
      <c r="B36" s="8" t="str">
        <f aca="false">'Menú y Pantallas'!D36</f>
        <v>Olas de picking</v>
      </c>
      <c r="C36" s="9" t="str">
        <f aca="false">IF(OR(ISNUMBER(SEARCH(C$1,'Menú y Pantallas'!$F36)),ISNUMBER(SEARCH("Todos",'Menú y Pantallas'!$F36))),"X","")</f>
        <v/>
      </c>
      <c r="D36" s="9" t="str">
        <f aca="false">IF(OR(ISNUMBER(SEARCH(D$1,'Menú y Pantallas'!$F36)),ISNUMBER(SEARCH("Todos",'Menú y Pantallas'!$F36))),"X","")</f>
        <v>X</v>
      </c>
      <c r="E36" s="9" t="str">
        <f aca="false">IF(OR(ISNUMBER(SEARCH(E$1,'Menú y Pantallas'!$F36)),ISNUMBER(SEARCH("Todos",'Menú y Pantallas'!$F36))),"X","")</f>
        <v/>
      </c>
      <c r="F36" s="9" t="str">
        <f aca="false">IF(OR(ISNUMBER(SEARCH(F$1,'Menú y Pantallas'!$F36)),ISNUMBER(SEARCH("Todos",'Menú y Pantallas'!$F36))),"X","")</f>
        <v/>
      </c>
      <c r="G36" s="9" t="str">
        <f aca="false">IF(OR(ISNUMBER(SEARCH(G$1,'Menú y Pantallas'!$F36)),ISNUMBER(SEARCH("Todos",'Menú y Pantallas'!$F36))),"X","")</f>
        <v/>
      </c>
      <c r="H36" s="9" t="str">
        <f aca="false">IF(OR(ISNUMBER(SEARCH(H$1,'Menú y Pantallas'!$F36)),ISNUMBER(SEARCH("Todos",'Menú y Pantallas'!$F36))),"X","")</f>
        <v/>
      </c>
      <c r="I36" s="9" t="str">
        <f aca="false">IF(OR(ISNUMBER(SEARCH(I$1,'Menú y Pantallas'!$F36)),ISNUMBER(SEARCH("Todos",'Menú y Pantallas'!$F36))),"X","")</f>
        <v/>
      </c>
      <c r="J36" s="9" t="str">
        <f aca="false">IF(OR(ISNUMBER(SEARCH(J$1,'Menú y Pantallas'!$F36)),ISNUMBER(SEARCH("Todos",'Menú y Pantallas'!$F36))),"X","")</f>
        <v/>
      </c>
      <c r="K36" s="9" t="str">
        <f aca="false">IF(OR(ISNUMBER(SEARCH(K$1,'Menú y Pantallas'!$F36)),ISNUMBER(SEARCH("Todos",'Menú y Pantallas'!$F36))),"X","")</f>
        <v/>
      </c>
      <c r="L36" s="9" t="str">
        <f aca="false">IF(OR(ISNUMBER(SEARCH(L$1,'Menú y Pantallas'!$F36)),ISNUMBER(SEARCH("Todos",'Menú y Pantallas'!$F36))),"X","")</f>
        <v/>
      </c>
    </row>
    <row r="37" customFormat="false" ht="15" hidden="false" customHeight="false" outlineLevel="0" collapsed="false">
      <c r="A37" s="7" t="str">
        <f aca="false">'Menú y Pantallas'!C37</f>
        <v>7.3</v>
      </c>
      <c r="B37" s="8" t="str">
        <f aca="false">'Menú y Pantallas'!D37</f>
        <v>Picking móvil</v>
      </c>
      <c r="C37" s="9" t="str">
        <f aca="false">IF(OR(ISNUMBER(SEARCH(C$1,'Menú y Pantallas'!$F37)),ISNUMBER(SEARCH("Todos",'Menú y Pantallas'!$F37))),"X","")</f>
        <v/>
      </c>
      <c r="D37" s="9" t="str">
        <f aca="false">IF(OR(ISNUMBER(SEARCH(D$1,'Menú y Pantallas'!$F37)),ISNUMBER(SEARCH("Todos",'Menú y Pantallas'!$F37))),"X","")</f>
        <v/>
      </c>
      <c r="E37" s="9" t="str">
        <f aca="false">IF(OR(ISNUMBER(SEARCH(E$1,'Menú y Pantallas'!$F37)),ISNUMBER(SEARCH("Todos",'Menú y Pantallas'!$F37))),"X","")</f>
        <v/>
      </c>
      <c r="F37" s="9" t="str">
        <f aca="false">IF(OR(ISNUMBER(SEARCH(F$1,'Menú y Pantallas'!$F37)),ISNUMBER(SEARCH("Todos",'Menú y Pantallas'!$F37))),"X","")</f>
        <v>X</v>
      </c>
      <c r="G37" s="9" t="str">
        <f aca="false">IF(OR(ISNUMBER(SEARCH(G$1,'Menú y Pantallas'!$F37)),ISNUMBER(SEARCH("Todos",'Menú y Pantallas'!$F37))),"X","")</f>
        <v/>
      </c>
      <c r="H37" s="9" t="str">
        <f aca="false">IF(OR(ISNUMBER(SEARCH(H$1,'Menú y Pantallas'!$F37)),ISNUMBER(SEARCH("Todos",'Menú y Pantallas'!$F37))),"X","")</f>
        <v/>
      </c>
      <c r="I37" s="9" t="str">
        <f aca="false">IF(OR(ISNUMBER(SEARCH(I$1,'Menú y Pantallas'!$F37)),ISNUMBER(SEARCH("Todos",'Menú y Pantallas'!$F37))),"X","")</f>
        <v/>
      </c>
      <c r="J37" s="9" t="str">
        <f aca="false">IF(OR(ISNUMBER(SEARCH(J$1,'Menú y Pantallas'!$F37)),ISNUMBER(SEARCH("Todos",'Menú y Pantallas'!$F37))),"X","")</f>
        <v/>
      </c>
      <c r="K37" s="9" t="str">
        <f aca="false">IF(OR(ISNUMBER(SEARCH(K$1,'Menú y Pantallas'!$F37)),ISNUMBER(SEARCH("Todos",'Menú y Pantallas'!$F37))),"X","")</f>
        <v/>
      </c>
      <c r="L37" s="9" t="str">
        <f aca="false">IF(OR(ISNUMBER(SEARCH(L$1,'Menú y Pantallas'!$F37)),ISNUMBER(SEARCH("Todos",'Menú y Pantallas'!$F37))),"X","")</f>
        <v/>
      </c>
    </row>
    <row r="38" customFormat="false" ht="15" hidden="false" customHeight="false" outlineLevel="0" collapsed="false">
      <c r="A38" s="7" t="str">
        <f aca="false">'Menú y Pantallas'!C38</f>
        <v>7.4</v>
      </c>
      <c r="B38" s="8" t="str">
        <f aca="false">'Menú y Pantallas'!D38</f>
        <v>Packing</v>
      </c>
      <c r="C38" s="9" t="str">
        <f aca="false">IF(OR(ISNUMBER(SEARCH(C$1,'Menú y Pantallas'!$F38)),ISNUMBER(SEARCH("Todos",'Menú y Pantallas'!$F38))),"X","")</f>
        <v/>
      </c>
      <c r="D38" s="9" t="str">
        <f aca="false">IF(OR(ISNUMBER(SEARCH(D$1,'Menú y Pantallas'!$F38)),ISNUMBER(SEARCH("Todos",'Menú y Pantallas'!$F38))),"X","")</f>
        <v/>
      </c>
      <c r="E38" s="9" t="str">
        <f aca="false">IF(OR(ISNUMBER(SEARCH(E$1,'Menú y Pantallas'!$F38)),ISNUMBER(SEARCH("Todos",'Menú y Pantallas'!$F38))),"X","")</f>
        <v/>
      </c>
      <c r="F38" s="9" t="str">
        <f aca="false">IF(OR(ISNUMBER(SEARCH(F$1,'Menú y Pantallas'!$F38)),ISNUMBER(SEARCH("Todos",'Menú y Pantallas'!$F38))),"X","")</f>
        <v/>
      </c>
      <c r="G38" s="9" t="str">
        <f aca="false">IF(OR(ISNUMBER(SEARCH(G$1,'Menú y Pantallas'!$F38)),ISNUMBER(SEARCH("Todos",'Menú y Pantallas'!$F38))),"X","")</f>
        <v>X</v>
      </c>
      <c r="H38" s="9" t="str">
        <f aca="false">IF(OR(ISNUMBER(SEARCH(H$1,'Menú y Pantallas'!$F38)),ISNUMBER(SEARCH("Todos",'Menú y Pantallas'!$F38))),"X","")</f>
        <v/>
      </c>
      <c r="I38" s="9" t="str">
        <f aca="false">IF(OR(ISNUMBER(SEARCH(I$1,'Menú y Pantallas'!$F38)),ISNUMBER(SEARCH("Todos",'Menú y Pantallas'!$F38))),"X","")</f>
        <v/>
      </c>
      <c r="J38" s="9" t="str">
        <f aca="false">IF(OR(ISNUMBER(SEARCH(J$1,'Menú y Pantallas'!$F38)),ISNUMBER(SEARCH("Todos",'Menú y Pantallas'!$F38))),"X","")</f>
        <v/>
      </c>
      <c r="K38" s="9" t="str">
        <f aca="false">IF(OR(ISNUMBER(SEARCH(K$1,'Menú y Pantallas'!$F38)),ISNUMBER(SEARCH("Todos",'Menú y Pantallas'!$F38))),"X","")</f>
        <v/>
      </c>
      <c r="L38" s="9" t="str">
        <f aca="false">IF(OR(ISNUMBER(SEARCH(L$1,'Menú y Pantallas'!$F38)),ISNUMBER(SEARCH("Todos",'Menú y Pantallas'!$F38))),"X","")</f>
        <v/>
      </c>
    </row>
    <row r="39" customFormat="false" ht="15" hidden="false" customHeight="false" outlineLevel="0" collapsed="false">
      <c r="A39" s="7" t="str">
        <f aca="false">'Menú y Pantallas'!C39</f>
        <v>7.5</v>
      </c>
      <c r="B39" s="8" t="str">
        <f aca="false">'Menú y Pantallas'!D39</f>
        <v>Muelle de salida</v>
      </c>
      <c r="C39" s="9" t="str">
        <f aca="false">IF(OR(ISNUMBER(SEARCH(C$1,'Menú y Pantallas'!$F39)),ISNUMBER(SEARCH("Todos",'Menú y Pantallas'!$F39))),"X","")</f>
        <v/>
      </c>
      <c r="D39" s="9" t="str">
        <f aca="false">IF(OR(ISNUMBER(SEARCH(D$1,'Menú y Pantallas'!$F39)),ISNUMBER(SEARCH("Todos",'Menú y Pantallas'!$F39))),"X","")</f>
        <v>X</v>
      </c>
      <c r="E39" s="9" t="str">
        <f aca="false">IF(OR(ISNUMBER(SEARCH(E$1,'Menú y Pantallas'!$F39)),ISNUMBER(SEARCH("Todos",'Menú y Pantallas'!$F39))),"X","")</f>
        <v/>
      </c>
      <c r="F39" s="9" t="str">
        <f aca="false">IF(OR(ISNUMBER(SEARCH(F$1,'Menú y Pantallas'!$F39)),ISNUMBER(SEARCH("Todos",'Menú y Pantallas'!$F39))),"X","")</f>
        <v/>
      </c>
      <c r="G39" s="9" t="str">
        <f aca="false">IF(OR(ISNUMBER(SEARCH(G$1,'Menú y Pantallas'!$F39)),ISNUMBER(SEARCH("Todos",'Menú y Pantallas'!$F39))),"X","")</f>
        <v>X</v>
      </c>
      <c r="H39" s="9" t="str">
        <f aca="false">IF(OR(ISNUMBER(SEARCH(H$1,'Menú y Pantallas'!$F39)),ISNUMBER(SEARCH("Todos",'Menú y Pantallas'!$F39))),"X","")</f>
        <v/>
      </c>
      <c r="I39" s="9" t="str">
        <f aca="false">IF(OR(ISNUMBER(SEARCH(I$1,'Menú y Pantallas'!$F39)),ISNUMBER(SEARCH("Todos",'Menú y Pantallas'!$F39))),"X","")</f>
        <v/>
      </c>
      <c r="J39" s="9" t="str">
        <f aca="false">IF(OR(ISNUMBER(SEARCH(J$1,'Menú y Pantallas'!$F39)),ISNUMBER(SEARCH("Todos",'Menú y Pantallas'!$F39))),"X","")</f>
        <v/>
      </c>
      <c r="K39" s="9" t="str">
        <f aca="false">IF(OR(ISNUMBER(SEARCH(K$1,'Menú y Pantallas'!$F39)),ISNUMBER(SEARCH("Todos",'Menú y Pantallas'!$F39))),"X","")</f>
        <v>X</v>
      </c>
      <c r="L39" s="9" t="str">
        <f aca="false">IF(OR(ISNUMBER(SEARCH(L$1,'Menú y Pantallas'!$F39)),ISNUMBER(SEARCH("Todos",'Menú y Pantallas'!$F39))),"X","")</f>
        <v/>
      </c>
    </row>
    <row r="40" customFormat="false" ht="15" hidden="false" customHeight="false" outlineLevel="0" collapsed="false">
      <c r="A40" s="7" t="str">
        <f aca="false">'Menú y Pantallas'!C40</f>
        <v>7.6</v>
      </c>
      <c r="B40" s="8" t="str">
        <f aca="false">'Menú y Pantallas'!D40</f>
        <v>Incidencias de picking</v>
      </c>
      <c r="C40" s="9" t="str">
        <f aca="false">IF(OR(ISNUMBER(SEARCH(C$1,'Menú y Pantallas'!$F40)),ISNUMBER(SEARCH("Todos",'Menú y Pantallas'!$F40))),"X","")</f>
        <v/>
      </c>
      <c r="D40" s="9" t="str">
        <f aca="false">IF(OR(ISNUMBER(SEARCH(D$1,'Menú y Pantallas'!$F40)),ISNUMBER(SEARCH("Todos",'Menú y Pantallas'!$F40))),"X","")</f>
        <v>X</v>
      </c>
      <c r="E40" s="9" t="str">
        <f aca="false">IF(OR(ISNUMBER(SEARCH(E$1,'Menú y Pantallas'!$F40)),ISNUMBER(SEARCH("Todos",'Menú y Pantallas'!$F40))),"X","")</f>
        <v/>
      </c>
      <c r="F40" s="9" t="str">
        <f aca="false">IF(OR(ISNUMBER(SEARCH(F$1,'Menú y Pantallas'!$F40)),ISNUMBER(SEARCH("Todos",'Menú y Pantallas'!$F40))),"X","")</f>
        <v>X</v>
      </c>
      <c r="G40" s="9" t="str">
        <f aca="false">IF(OR(ISNUMBER(SEARCH(G$1,'Menú y Pantallas'!$F40)),ISNUMBER(SEARCH("Todos",'Menú y Pantallas'!$F40))),"X","")</f>
        <v/>
      </c>
      <c r="H40" s="9" t="str">
        <f aca="false">IF(OR(ISNUMBER(SEARCH(H$1,'Menú y Pantallas'!$F40)),ISNUMBER(SEARCH("Todos",'Menú y Pantallas'!$F40))),"X","")</f>
        <v/>
      </c>
      <c r="I40" s="9" t="str">
        <f aca="false">IF(OR(ISNUMBER(SEARCH(I$1,'Menú y Pantallas'!$F40)),ISNUMBER(SEARCH("Todos",'Menú y Pantallas'!$F40))),"X","")</f>
        <v/>
      </c>
      <c r="J40" s="9" t="str">
        <f aca="false">IF(OR(ISNUMBER(SEARCH(J$1,'Menú y Pantallas'!$F40)),ISNUMBER(SEARCH("Todos",'Menú y Pantallas'!$F40))),"X","")</f>
        <v/>
      </c>
      <c r="K40" s="9" t="str">
        <f aca="false">IF(OR(ISNUMBER(SEARCH(K$1,'Menú y Pantallas'!$F40)),ISNUMBER(SEARCH("Todos",'Menú y Pantallas'!$F40))),"X","")</f>
        <v/>
      </c>
      <c r="L40" s="9" t="str">
        <f aca="false">IF(OR(ISNUMBER(SEARCH(L$1,'Menú y Pantallas'!$F40)),ISNUMBER(SEARCH("Todos",'Menú y Pantallas'!$F40))),"X","")</f>
        <v/>
      </c>
    </row>
    <row r="41" customFormat="false" ht="15" hidden="false" customHeight="false" outlineLevel="0" collapsed="false">
      <c r="A41" s="7" t="str">
        <f aca="false">'Menú y Pantallas'!C41</f>
        <v>8.1</v>
      </c>
      <c r="B41" s="8" t="str">
        <f aca="false">'Menú y Pantallas'!D41</f>
        <v>Transportistas y servicios</v>
      </c>
      <c r="C41" s="9" t="str">
        <f aca="false">IF(OR(ISNUMBER(SEARCH(C$1,'Menú y Pantallas'!$F41)),ISNUMBER(SEARCH("Todos",'Menú y Pantallas'!$F41))),"X","")</f>
        <v>X</v>
      </c>
      <c r="D41" s="9" t="str">
        <f aca="false">IF(OR(ISNUMBER(SEARCH(D$1,'Menú y Pantallas'!$F41)),ISNUMBER(SEARCH("Todos",'Menú y Pantallas'!$F41))),"X","")</f>
        <v/>
      </c>
      <c r="E41" s="9" t="str">
        <f aca="false">IF(OR(ISNUMBER(SEARCH(E$1,'Menú y Pantallas'!$F41)),ISNUMBER(SEARCH("Todos",'Menú y Pantallas'!$F41))),"X","")</f>
        <v/>
      </c>
      <c r="F41" s="9" t="str">
        <f aca="false">IF(OR(ISNUMBER(SEARCH(F$1,'Menú y Pantallas'!$F41)),ISNUMBER(SEARCH("Todos",'Menú y Pantallas'!$F41))),"X","")</f>
        <v/>
      </c>
      <c r="G41" s="9" t="str">
        <f aca="false">IF(OR(ISNUMBER(SEARCH(G$1,'Menú y Pantallas'!$F41)),ISNUMBER(SEARCH("Todos",'Menú y Pantallas'!$F41))),"X","")</f>
        <v/>
      </c>
      <c r="H41" s="9" t="str">
        <f aca="false">IF(OR(ISNUMBER(SEARCH(H$1,'Menú y Pantallas'!$F41)),ISNUMBER(SEARCH("Todos",'Menú y Pantallas'!$F41))),"X","")</f>
        <v/>
      </c>
      <c r="I41" s="9" t="str">
        <f aca="false">IF(OR(ISNUMBER(SEARCH(I$1,'Menú y Pantallas'!$F41)),ISNUMBER(SEARCH("Todos",'Menú y Pantallas'!$F41))),"X","")</f>
        <v/>
      </c>
      <c r="J41" s="9" t="str">
        <f aca="false">IF(OR(ISNUMBER(SEARCH(J$1,'Menú y Pantallas'!$F41)),ISNUMBER(SEARCH("Todos",'Menú y Pantallas'!$F41))),"X","")</f>
        <v/>
      </c>
      <c r="K41" s="9" t="str">
        <f aca="false">IF(OR(ISNUMBER(SEARCH(K$1,'Menú y Pantallas'!$F41)),ISNUMBER(SEARCH("Todos",'Menú y Pantallas'!$F41))),"X","")</f>
        <v>X</v>
      </c>
      <c r="L41" s="9" t="str">
        <f aca="false">IF(OR(ISNUMBER(SEARCH(L$1,'Menú y Pantallas'!$F41)),ISNUMBER(SEARCH("Todos",'Menú y Pantallas'!$F41))),"X","")</f>
        <v/>
      </c>
    </row>
    <row r="42" customFormat="false" ht="15" hidden="false" customHeight="false" outlineLevel="0" collapsed="false">
      <c r="A42" s="7" t="str">
        <f aca="false">'Menú y Pantallas'!C42</f>
        <v>8.2</v>
      </c>
      <c r="B42" s="8" t="str">
        <f aca="false">'Menú y Pantallas'!D42</f>
        <v>Reglas de selección</v>
      </c>
      <c r="C42" s="9" t="str">
        <f aca="false">IF(OR(ISNUMBER(SEARCH(C$1,'Menú y Pantallas'!$F42)),ISNUMBER(SEARCH("Todos",'Menú y Pantallas'!$F42))),"X","")</f>
        <v>X</v>
      </c>
      <c r="D42" s="9" t="str">
        <f aca="false">IF(OR(ISNUMBER(SEARCH(D$1,'Menú y Pantallas'!$F42)),ISNUMBER(SEARCH("Todos",'Menú y Pantallas'!$F42))),"X","")</f>
        <v/>
      </c>
      <c r="E42" s="9" t="str">
        <f aca="false">IF(OR(ISNUMBER(SEARCH(E$1,'Menú y Pantallas'!$F42)),ISNUMBER(SEARCH("Todos",'Menú y Pantallas'!$F42))),"X","")</f>
        <v/>
      </c>
      <c r="F42" s="9" t="str">
        <f aca="false">IF(OR(ISNUMBER(SEARCH(F$1,'Menú y Pantallas'!$F42)),ISNUMBER(SEARCH("Todos",'Menú y Pantallas'!$F42))),"X","")</f>
        <v/>
      </c>
      <c r="G42" s="9" t="str">
        <f aca="false">IF(OR(ISNUMBER(SEARCH(G$1,'Menú y Pantallas'!$F42)),ISNUMBER(SEARCH("Todos",'Menú y Pantallas'!$F42))),"X","")</f>
        <v/>
      </c>
      <c r="H42" s="9" t="str">
        <f aca="false">IF(OR(ISNUMBER(SEARCH(H$1,'Menú y Pantallas'!$F42)),ISNUMBER(SEARCH("Todos",'Menú y Pantallas'!$F42))),"X","")</f>
        <v/>
      </c>
      <c r="I42" s="9" t="str">
        <f aca="false">IF(OR(ISNUMBER(SEARCH(I$1,'Menú y Pantallas'!$F42)),ISNUMBER(SEARCH("Todos",'Menú y Pantallas'!$F42))),"X","")</f>
        <v/>
      </c>
      <c r="J42" s="9" t="str">
        <f aca="false">IF(OR(ISNUMBER(SEARCH(J$1,'Menú y Pantallas'!$F42)),ISNUMBER(SEARCH("Todos",'Menú y Pantallas'!$F42))),"X","")</f>
        <v/>
      </c>
      <c r="K42" s="9" t="str">
        <f aca="false">IF(OR(ISNUMBER(SEARCH(K$1,'Menú y Pantallas'!$F42)),ISNUMBER(SEARCH("Todos",'Menú y Pantallas'!$F42))),"X","")</f>
        <v>X</v>
      </c>
      <c r="L42" s="9" t="str">
        <f aca="false">IF(OR(ISNUMBER(SEARCH(L$1,'Menú y Pantallas'!$F42)),ISNUMBER(SEARCH("Todos",'Menú y Pantallas'!$F42))),"X","")</f>
        <v/>
      </c>
    </row>
    <row r="43" customFormat="false" ht="15" hidden="false" customHeight="false" outlineLevel="0" collapsed="false">
      <c r="A43" s="7" t="str">
        <f aca="false">'Menú y Pantallas'!C43</f>
        <v>8.3</v>
      </c>
      <c r="B43" s="8" t="str">
        <f aca="false">'Menú y Pantallas'!D43</f>
        <v>Guías y etiquetas</v>
      </c>
      <c r="C43" s="9" t="str">
        <f aca="false">IF(OR(ISNUMBER(SEARCH(C$1,'Menú y Pantallas'!$F43)),ISNUMBER(SEARCH("Todos",'Menú y Pantallas'!$F43))),"X","")</f>
        <v/>
      </c>
      <c r="D43" s="9" t="str">
        <f aca="false">IF(OR(ISNUMBER(SEARCH(D$1,'Menú y Pantallas'!$F43)),ISNUMBER(SEARCH("Todos",'Menú y Pantallas'!$F43))),"X","")</f>
        <v/>
      </c>
      <c r="E43" s="9" t="str">
        <f aca="false">IF(OR(ISNUMBER(SEARCH(E$1,'Menú y Pantallas'!$F43)),ISNUMBER(SEARCH("Todos",'Menú y Pantallas'!$F43))),"X","")</f>
        <v/>
      </c>
      <c r="F43" s="9" t="str">
        <f aca="false">IF(OR(ISNUMBER(SEARCH(F$1,'Menú y Pantallas'!$F43)),ISNUMBER(SEARCH("Todos",'Menú y Pantallas'!$F43))),"X","")</f>
        <v/>
      </c>
      <c r="G43" s="9" t="str">
        <f aca="false">IF(OR(ISNUMBER(SEARCH(G$1,'Menú y Pantallas'!$F43)),ISNUMBER(SEARCH("Todos",'Menú y Pantallas'!$F43))),"X","")</f>
        <v>X</v>
      </c>
      <c r="H43" s="9" t="str">
        <f aca="false">IF(OR(ISNUMBER(SEARCH(H$1,'Menú y Pantallas'!$F43)),ISNUMBER(SEARCH("Todos",'Menú y Pantallas'!$F43))),"X","")</f>
        <v/>
      </c>
      <c r="I43" s="9" t="str">
        <f aca="false">IF(OR(ISNUMBER(SEARCH(I$1,'Menú y Pantallas'!$F43)),ISNUMBER(SEARCH("Todos",'Menú y Pantallas'!$F43))),"X","")</f>
        <v/>
      </c>
      <c r="J43" s="9" t="str">
        <f aca="false">IF(OR(ISNUMBER(SEARCH(J$1,'Menú y Pantallas'!$F43)),ISNUMBER(SEARCH("Todos",'Menú y Pantallas'!$F43))),"X","")</f>
        <v/>
      </c>
      <c r="K43" s="9" t="str">
        <f aca="false">IF(OR(ISNUMBER(SEARCH(K$1,'Menú y Pantallas'!$F43)),ISNUMBER(SEARCH("Todos",'Menú y Pantallas'!$F43))),"X","")</f>
        <v>X</v>
      </c>
      <c r="L43" s="9" t="str">
        <f aca="false">IF(OR(ISNUMBER(SEARCH(L$1,'Menú y Pantallas'!$F43)),ISNUMBER(SEARCH("Todos",'Menú y Pantallas'!$F43))),"X","")</f>
        <v/>
      </c>
    </row>
    <row r="44" customFormat="false" ht="15" hidden="false" customHeight="false" outlineLevel="0" collapsed="false">
      <c r="A44" s="7" t="str">
        <f aca="false">'Menú y Pantallas'!C44</f>
        <v>8.4</v>
      </c>
      <c r="B44" s="8" t="str">
        <f aca="false">'Menú y Pantallas'!D44</f>
        <v>Manifiestos</v>
      </c>
      <c r="C44" s="9" t="str">
        <f aca="false">IF(OR(ISNUMBER(SEARCH(C$1,'Menú y Pantallas'!$F44)),ISNUMBER(SEARCH("Todos",'Menú y Pantallas'!$F44))),"X","")</f>
        <v/>
      </c>
      <c r="D44" s="9" t="str">
        <f aca="false">IF(OR(ISNUMBER(SEARCH(D$1,'Menú y Pantallas'!$F44)),ISNUMBER(SEARCH("Todos",'Menú y Pantallas'!$F44))),"X","")</f>
        <v>X</v>
      </c>
      <c r="E44" s="9" t="str">
        <f aca="false">IF(OR(ISNUMBER(SEARCH(E$1,'Menú y Pantallas'!$F44)),ISNUMBER(SEARCH("Todos",'Menú y Pantallas'!$F44))),"X","")</f>
        <v/>
      </c>
      <c r="F44" s="9" t="str">
        <f aca="false">IF(OR(ISNUMBER(SEARCH(F$1,'Menú y Pantallas'!$F44)),ISNUMBER(SEARCH("Todos",'Menú y Pantallas'!$F44))),"X","")</f>
        <v/>
      </c>
      <c r="G44" s="9" t="str">
        <f aca="false">IF(OR(ISNUMBER(SEARCH(G$1,'Menú y Pantallas'!$F44)),ISNUMBER(SEARCH("Todos",'Menú y Pantallas'!$F44))),"X","")</f>
        <v/>
      </c>
      <c r="H44" s="9" t="str">
        <f aca="false">IF(OR(ISNUMBER(SEARCH(H$1,'Menú y Pantallas'!$F44)),ISNUMBER(SEARCH("Todos",'Menú y Pantallas'!$F44))),"X","")</f>
        <v/>
      </c>
      <c r="I44" s="9" t="str">
        <f aca="false">IF(OR(ISNUMBER(SEARCH(I$1,'Menú y Pantallas'!$F44)),ISNUMBER(SEARCH("Todos",'Menú y Pantallas'!$F44))),"X","")</f>
        <v/>
      </c>
      <c r="J44" s="9" t="str">
        <f aca="false">IF(OR(ISNUMBER(SEARCH(J$1,'Menú y Pantallas'!$F44)),ISNUMBER(SEARCH("Todos",'Menú y Pantallas'!$F44))),"X","")</f>
        <v/>
      </c>
      <c r="K44" s="9" t="str">
        <f aca="false">IF(OR(ISNUMBER(SEARCH(K$1,'Menú y Pantallas'!$F44)),ISNUMBER(SEARCH("Todos",'Menú y Pantallas'!$F44))),"X","")</f>
        <v>X</v>
      </c>
      <c r="L44" s="9" t="str">
        <f aca="false">IF(OR(ISNUMBER(SEARCH(L$1,'Menú y Pantallas'!$F44)),ISNUMBER(SEARCH("Todos",'Menú y Pantallas'!$F44))),"X","")</f>
        <v/>
      </c>
    </row>
    <row r="45" customFormat="false" ht="15" hidden="false" customHeight="false" outlineLevel="0" collapsed="false">
      <c r="A45" s="7" t="str">
        <f aca="false">'Menú y Pantallas'!C45</f>
        <v>8.5</v>
      </c>
      <c r="B45" s="8" t="str">
        <f aca="false">'Menú y Pantallas'!D45</f>
        <v>Tracking de envíos</v>
      </c>
      <c r="C45" s="9" t="str">
        <f aca="false">IF(OR(ISNUMBER(SEARCH(C$1,'Menú y Pantallas'!$F45)),ISNUMBER(SEARCH("Todos",'Menú y Pantallas'!$F45))),"X","")</f>
        <v/>
      </c>
      <c r="D45" s="9" t="str">
        <f aca="false">IF(OR(ISNUMBER(SEARCH(D$1,'Menú y Pantallas'!$F45)),ISNUMBER(SEARCH("Todos",'Menú y Pantallas'!$F45))),"X","")</f>
        <v>X</v>
      </c>
      <c r="E45" s="9" t="str">
        <f aca="false">IF(OR(ISNUMBER(SEARCH(E$1,'Menú y Pantallas'!$F45)),ISNUMBER(SEARCH("Todos",'Menú y Pantallas'!$F45))),"X","")</f>
        <v/>
      </c>
      <c r="F45" s="9" t="str">
        <f aca="false">IF(OR(ISNUMBER(SEARCH(F$1,'Menú y Pantallas'!$F45)),ISNUMBER(SEARCH("Todos",'Menú y Pantallas'!$F45))),"X","")</f>
        <v/>
      </c>
      <c r="G45" s="9" t="str">
        <f aca="false">IF(OR(ISNUMBER(SEARCH(G$1,'Menú y Pantallas'!$F45)),ISNUMBER(SEARCH("Todos",'Menú y Pantallas'!$F45))),"X","")</f>
        <v/>
      </c>
      <c r="H45" s="9" t="str">
        <f aca="false">IF(OR(ISNUMBER(SEARCH(H$1,'Menú y Pantallas'!$F45)),ISNUMBER(SEARCH("Todos",'Menú y Pantallas'!$F45))),"X","")</f>
        <v/>
      </c>
      <c r="I45" s="9" t="str">
        <f aca="false">IF(OR(ISNUMBER(SEARCH(I$1,'Menú y Pantallas'!$F45)),ISNUMBER(SEARCH("Todos",'Menú y Pantallas'!$F45))),"X","")</f>
        <v/>
      </c>
      <c r="J45" s="9" t="str">
        <f aca="false">IF(OR(ISNUMBER(SEARCH(J$1,'Menú y Pantallas'!$F45)),ISNUMBER(SEARCH("Todos",'Menú y Pantallas'!$F45))),"X","")</f>
        <v/>
      </c>
      <c r="K45" s="9" t="str">
        <f aca="false">IF(OR(ISNUMBER(SEARCH(K$1,'Menú y Pantallas'!$F45)),ISNUMBER(SEARCH("Todos",'Menú y Pantallas'!$F45))),"X","")</f>
        <v>X</v>
      </c>
      <c r="L45" s="9" t="str">
        <f aca="false">IF(OR(ISNUMBER(SEARCH(L$1,'Menú y Pantallas'!$F45)),ISNUMBER(SEARCH("Todos",'Menú y Pantallas'!$F45))),"X","")</f>
        <v>X</v>
      </c>
    </row>
    <row r="46" customFormat="false" ht="15" hidden="false" customHeight="false" outlineLevel="0" collapsed="false">
      <c r="A46" s="7" t="str">
        <f aca="false">'Menú y Pantallas'!C46</f>
        <v>8.6</v>
      </c>
      <c r="B46" s="8" t="str">
        <f aca="false">'Menú y Pantallas'!D46</f>
        <v>Entregas fallidas y siniestros</v>
      </c>
      <c r="C46" s="9" t="str">
        <f aca="false">IF(OR(ISNUMBER(SEARCH(C$1,'Menú y Pantallas'!$F46)),ISNUMBER(SEARCH("Todos",'Menú y Pantallas'!$F46))),"X","")</f>
        <v/>
      </c>
      <c r="D46" s="9" t="str">
        <f aca="false">IF(OR(ISNUMBER(SEARCH(D$1,'Menú y Pantallas'!$F46)),ISNUMBER(SEARCH("Todos",'Menú y Pantallas'!$F46))),"X","")</f>
        <v/>
      </c>
      <c r="E46" s="9" t="str">
        <f aca="false">IF(OR(ISNUMBER(SEARCH(E$1,'Menú y Pantallas'!$F46)),ISNUMBER(SEARCH("Todos",'Menú y Pantallas'!$F46))),"X","")</f>
        <v/>
      </c>
      <c r="F46" s="9" t="str">
        <f aca="false">IF(OR(ISNUMBER(SEARCH(F$1,'Menú y Pantallas'!$F46)),ISNUMBER(SEARCH("Todos",'Menú y Pantallas'!$F46))),"X","")</f>
        <v/>
      </c>
      <c r="G46" s="9" t="str">
        <f aca="false">IF(OR(ISNUMBER(SEARCH(G$1,'Menú y Pantallas'!$F46)),ISNUMBER(SEARCH("Todos",'Menú y Pantallas'!$F46))),"X","")</f>
        <v/>
      </c>
      <c r="H46" s="9" t="str">
        <f aca="false">IF(OR(ISNUMBER(SEARCH(H$1,'Menú y Pantallas'!$F46)),ISNUMBER(SEARCH("Todos",'Menú y Pantallas'!$F46))),"X","")</f>
        <v/>
      </c>
      <c r="I46" s="9" t="str">
        <f aca="false">IF(OR(ISNUMBER(SEARCH(I$1,'Menú y Pantallas'!$F46)),ISNUMBER(SEARCH("Todos",'Menú y Pantallas'!$F46))),"X","")</f>
        <v/>
      </c>
      <c r="J46" s="9" t="str">
        <f aca="false">IF(OR(ISNUMBER(SEARCH(J$1,'Menú y Pantallas'!$F46)),ISNUMBER(SEARCH("Todos",'Menú y Pantallas'!$F46))),"X","")</f>
        <v/>
      </c>
      <c r="K46" s="9" t="str">
        <f aca="false">IF(OR(ISNUMBER(SEARCH(K$1,'Menú y Pantallas'!$F46)),ISNUMBER(SEARCH("Todos",'Menú y Pantallas'!$F46))),"X","")</f>
        <v>X</v>
      </c>
      <c r="L46" s="9" t="str">
        <f aca="false">IF(OR(ISNUMBER(SEARCH(L$1,'Menú y Pantallas'!$F46)),ISNUMBER(SEARCH("Todos",'Menú y Pantallas'!$F46))),"X","")</f>
        <v/>
      </c>
    </row>
    <row r="47" customFormat="false" ht="15" hidden="false" customHeight="false" outlineLevel="0" collapsed="false">
      <c r="A47" s="7" t="str">
        <f aca="false">'Menú y Pantallas'!C47</f>
        <v>8.7</v>
      </c>
      <c r="B47" s="8" t="str">
        <f aca="false">'Menú y Pantallas'!D47</f>
        <v>Costos de flete</v>
      </c>
      <c r="C47" s="9" t="str">
        <f aca="false">IF(OR(ISNUMBER(SEARCH(C$1,'Menú y Pantallas'!$F47)),ISNUMBER(SEARCH("Todos",'Menú y Pantallas'!$F47))),"X","")</f>
        <v/>
      </c>
      <c r="D47" s="9" t="str">
        <f aca="false">IF(OR(ISNUMBER(SEARCH(D$1,'Menú y Pantallas'!$F47)),ISNUMBER(SEARCH("Todos",'Menú y Pantallas'!$F47))),"X","")</f>
        <v/>
      </c>
      <c r="E47" s="9" t="str">
        <f aca="false">IF(OR(ISNUMBER(SEARCH(E$1,'Menú y Pantallas'!$F47)),ISNUMBER(SEARCH("Todos",'Menú y Pantallas'!$F47))),"X","")</f>
        <v/>
      </c>
      <c r="F47" s="9" t="str">
        <f aca="false">IF(OR(ISNUMBER(SEARCH(F$1,'Menú y Pantallas'!$F47)),ISNUMBER(SEARCH("Todos",'Menú y Pantallas'!$F47))),"X","")</f>
        <v/>
      </c>
      <c r="G47" s="9" t="str">
        <f aca="false">IF(OR(ISNUMBER(SEARCH(G$1,'Menú y Pantallas'!$F47)),ISNUMBER(SEARCH("Todos",'Menú y Pantallas'!$F47))),"X","")</f>
        <v/>
      </c>
      <c r="H47" s="9" t="str">
        <f aca="false">IF(OR(ISNUMBER(SEARCH(H$1,'Menú y Pantallas'!$F47)),ISNUMBER(SEARCH("Todos",'Menú y Pantallas'!$F47))),"X","")</f>
        <v/>
      </c>
      <c r="I47" s="9" t="str">
        <f aca="false">IF(OR(ISNUMBER(SEARCH(I$1,'Menú y Pantallas'!$F47)),ISNUMBER(SEARCH("Todos",'Menú y Pantallas'!$F47))),"X","")</f>
        <v>X</v>
      </c>
      <c r="J47" s="9" t="str">
        <f aca="false">IF(OR(ISNUMBER(SEARCH(J$1,'Menú y Pantallas'!$F47)),ISNUMBER(SEARCH("Todos",'Menú y Pantallas'!$F47))),"X","")</f>
        <v/>
      </c>
      <c r="K47" s="9" t="str">
        <f aca="false">IF(OR(ISNUMBER(SEARCH(K$1,'Menú y Pantallas'!$F47)),ISNUMBER(SEARCH("Todos",'Menú y Pantallas'!$F47))),"X","")</f>
        <v>X</v>
      </c>
      <c r="L47" s="9" t="str">
        <f aca="false">IF(OR(ISNUMBER(SEARCH(L$1,'Menú y Pantallas'!$F47)),ISNUMBER(SEARCH("Todos",'Menú y Pantallas'!$F47))),"X","")</f>
        <v>X</v>
      </c>
    </row>
    <row r="48" customFormat="false" ht="15" hidden="false" customHeight="false" outlineLevel="0" collapsed="false">
      <c r="A48" s="7" t="str">
        <f aca="false">'Menú y Pantallas'!C48</f>
        <v>9.1</v>
      </c>
      <c r="B48" s="8" t="str">
        <f aca="false">'Menú y Pantallas'!D48</f>
        <v>Solicitudes RMA</v>
      </c>
      <c r="C48" s="9" t="str">
        <f aca="false">IF(OR(ISNUMBER(SEARCH(C$1,'Menú y Pantallas'!$F48)),ISNUMBER(SEARCH("Todos",'Menú y Pantallas'!$F48))),"X","")</f>
        <v>X</v>
      </c>
      <c r="D48" s="9" t="str">
        <f aca="false">IF(OR(ISNUMBER(SEARCH(D$1,'Menú y Pantallas'!$F48)),ISNUMBER(SEARCH("Todos",'Menú y Pantallas'!$F48))),"X","")</f>
        <v>X</v>
      </c>
      <c r="E48" s="9" t="str">
        <f aca="false">IF(OR(ISNUMBER(SEARCH(E$1,'Menú y Pantallas'!$F48)),ISNUMBER(SEARCH("Todos",'Menú y Pantallas'!$F48))),"X","")</f>
        <v/>
      </c>
      <c r="F48" s="9" t="str">
        <f aca="false">IF(OR(ISNUMBER(SEARCH(F$1,'Menú y Pantallas'!$F48)),ISNUMBER(SEARCH("Todos",'Menú y Pantallas'!$F48))),"X","")</f>
        <v/>
      </c>
      <c r="G48" s="9" t="str">
        <f aca="false">IF(OR(ISNUMBER(SEARCH(G$1,'Menú y Pantallas'!$F48)),ISNUMBER(SEARCH("Todos",'Menú y Pantallas'!$F48))),"X","")</f>
        <v/>
      </c>
      <c r="H48" s="9" t="str">
        <f aca="false">IF(OR(ISNUMBER(SEARCH(H$1,'Menú y Pantallas'!$F48)),ISNUMBER(SEARCH("Todos",'Menú y Pantallas'!$F48))),"X","")</f>
        <v/>
      </c>
      <c r="I48" s="9" t="str">
        <f aca="false">IF(OR(ISNUMBER(SEARCH(I$1,'Menú y Pantallas'!$F48)),ISNUMBER(SEARCH("Todos",'Menú y Pantallas'!$F48))),"X","")</f>
        <v/>
      </c>
      <c r="J48" s="9" t="str">
        <f aca="false">IF(OR(ISNUMBER(SEARCH(J$1,'Menú y Pantallas'!$F48)),ISNUMBER(SEARCH("Todos",'Menú y Pantallas'!$F48))),"X","")</f>
        <v/>
      </c>
      <c r="K48" s="9" t="str">
        <f aca="false">IF(OR(ISNUMBER(SEARCH(K$1,'Menú y Pantallas'!$F48)),ISNUMBER(SEARCH("Todos",'Menú y Pantallas'!$F48))),"X","")</f>
        <v/>
      </c>
      <c r="L48" s="9" t="str">
        <f aca="false">IF(OR(ISNUMBER(SEARCH(L$1,'Menú y Pantallas'!$F48)),ISNUMBER(SEARCH("Todos",'Menú y Pantallas'!$F48))),"X","")</f>
        <v/>
      </c>
    </row>
    <row r="49" customFormat="false" ht="15" hidden="false" customHeight="false" outlineLevel="0" collapsed="false">
      <c r="A49" s="7" t="str">
        <f aca="false">'Menú y Pantallas'!C49</f>
        <v>9.2</v>
      </c>
      <c r="B49" s="8" t="str">
        <f aca="false">'Menú y Pantallas'!D49</f>
        <v>Recepción de devoluciones</v>
      </c>
      <c r="C49" s="9" t="str">
        <f aca="false">IF(OR(ISNUMBER(SEARCH(C$1,'Menú y Pantallas'!$F49)),ISNUMBER(SEARCH("Todos",'Menú y Pantallas'!$F49))),"X","")</f>
        <v/>
      </c>
      <c r="D49" s="9" t="str">
        <f aca="false">IF(OR(ISNUMBER(SEARCH(D$1,'Menú y Pantallas'!$F49)),ISNUMBER(SEARCH("Todos",'Menú y Pantallas'!$F49))),"X","")</f>
        <v/>
      </c>
      <c r="E49" s="9" t="str">
        <f aca="false">IF(OR(ISNUMBER(SEARCH(E$1,'Menú y Pantallas'!$F49)),ISNUMBER(SEARCH("Todos",'Menú y Pantallas'!$F49))),"X","")</f>
        <v>X</v>
      </c>
      <c r="F49" s="9" t="str">
        <f aca="false">IF(OR(ISNUMBER(SEARCH(F$1,'Menú y Pantallas'!$F49)),ISNUMBER(SEARCH("Todos",'Menú y Pantallas'!$F49))),"X","")</f>
        <v/>
      </c>
      <c r="G49" s="9" t="str">
        <f aca="false">IF(OR(ISNUMBER(SEARCH(G$1,'Menú y Pantallas'!$F49)),ISNUMBER(SEARCH("Todos",'Menú y Pantallas'!$F49))),"X","")</f>
        <v/>
      </c>
      <c r="H49" s="9" t="str">
        <f aca="false">IF(OR(ISNUMBER(SEARCH(H$1,'Menú y Pantallas'!$F49)),ISNUMBER(SEARCH("Todos",'Menú y Pantallas'!$F49))),"X","")</f>
        <v/>
      </c>
      <c r="I49" s="9" t="str">
        <f aca="false">IF(OR(ISNUMBER(SEARCH(I$1,'Menú y Pantallas'!$F49)),ISNUMBER(SEARCH("Todos",'Menú y Pantallas'!$F49))),"X","")</f>
        <v/>
      </c>
      <c r="J49" s="9" t="str">
        <f aca="false">IF(OR(ISNUMBER(SEARCH(J$1,'Menú y Pantallas'!$F49)),ISNUMBER(SEARCH("Todos",'Menú y Pantallas'!$F49))),"X","")</f>
        <v/>
      </c>
      <c r="K49" s="9" t="str">
        <f aca="false">IF(OR(ISNUMBER(SEARCH(K$1,'Menú y Pantallas'!$F49)),ISNUMBER(SEARCH("Todos",'Menú y Pantallas'!$F49))),"X","")</f>
        <v/>
      </c>
      <c r="L49" s="9" t="str">
        <f aca="false">IF(OR(ISNUMBER(SEARCH(L$1,'Menú y Pantallas'!$F49)),ISNUMBER(SEARCH("Todos",'Menú y Pantallas'!$F49))),"X","")</f>
        <v/>
      </c>
    </row>
    <row r="50" customFormat="false" ht="15" hidden="false" customHeight="false" outlineLevel="0" collapsed="false">
      <c r="A50" s="7" t="str">
        <f aca="false">'Menú y Pantallas'!C50</f>
        <v>9.3</v>
      </c>
      <c r="B50" s="8" t="str">
        <f aca="false">'Menú y Pantallas'!D50</f>
        <v>Inspección y decisión</v>
      </c>
      <c r="C50" s="9" t="str">
        <f aca="false">IF(OR(ISNUMBER(SEARCH(C$1,'Menú y Pantallas'!$F50)),ISNUMBER(SEARCH("Todos",'Menú y Pantallas'!$F50))),"X","")</f>
        <v/>
      </c>
      <c r="D50" s="9" t="str">
        <f aca="false">IF(OR(ISNUMBER(SEARCH(D$1,'Menú y Pantallas'!$F50)),ISNUMBER(SEARCH("Todos",'Menú y Pantallas'!$F50))),"X","")</f>
        <v>X</v>
      </c>
      <c r="E50" s="9" t="str">
        <f aca="false">IF(OR(ISNUMBER(SEARCH(E$1,'Menú y Pantallas'!$F50)),ISNUMBER(SEARCH("Todos",'Menú y Pantallas'!$F50))),"X","")</f>
        <v/>
      </c>
      <c r="F50" s="9" t="str">
        <f aca="false">IF(OR(ISNUMBER(SEARCH(F$1,'Menú y Pantallas'!$F50)),ISNUMBER(SEARCH("Todos",'Menú y Pantallas'!$F50))),"X","")</f>
        <v/>
      </c>
      <c r="G50" s="9" t="str">
        <f aca="false">IF(OR(ISNUMBER(SEARCH(G$1,'Menú y Pantallas'!$F50)),ISNUMBER(SEARCH("Todos",'Menú y Pantallas'!$F50))),"X","")</f>
        <v/>
      </c>
      <c r="H50" s="9" t="str">
        <f aca="false">IF(OR(ISNUMBER(SEARCH(H$1,'Menú y Pantallas'!$F50)),ISNUMBER(SEARCH("Todos",'Menú y Pantallas'!$F50))),"X","")</f>
        <v>X</v>
      </c>
      <c r="I50" s="9" t="str">
        <f aca="false">IF(OR(ISNUMBER(SEARCH(I$1,'Menú y Pantallas'!$F50)),ISNUMBER(SEARCH("Todos",'Menú y Pantallas'!$F50))),"X","")</f>
        <v/>
      </c>
      <c r="J50" s="9" t="str">
        <f aca="false">IF(OR(ISNUMBER(SEARCH(J$1,'Menú y Pantallas'!$F50)),ISNUMBER(SEARCH("Todos",'Menú y Pantallas'!$F50))),"X","")</f>
        <v/>
      </c>
      <c r="K50" s="9" t="str">
        <f aca="false">IF(OR(ISNUMBER(SEARCH(K$1,'Menú y Pantallas'!$F50)),ISNUMBER(SEARCH("Todos",'Menú y Pantallas'!$F50))),"X","")</f>
        <v/>
      </c>
      <c r="L50" s="9" t="str">
        <f aca="false">IF(OR(ISNUMBER(SEARCH(L$1,'Menú y Pantallas'!$F50)),ISNUMBER(SEARCH("Todos",'Menú y Pantallas'!$F50))),"X","")</f>
        <v/>
      </c>
    </row>
    <row r="51" customFormat="false" ht="15" hidden="false" customHeight="false" outlineLevel="0" collapsed="false">
      <c r="A51" s="7" t="str">
        <f aca="false">'Menú y Pantallas'!C51</f>
        <v>9.4</v>
      </c>
      <c r="B51" s="8" t="str">
        <f aca="false">'Menú y Pantallas'!D51</f>
        <v>Cierre financiero</v>
      </c>
      <c r="C51" s="9" t="str">
        <f aca="false">IF(OR(ISNUMBER(SEARCH(C$1,'Menú y Pantallas'!$F51)),ISNUMBER(SEARCH("Todos",'Menú y Pantallas'!$F51))),"X","")</f>
        <v/>
      </c>
      <c r="D51" s="9" t="str">
        <f aca="false">IF(OR(ISNUMBER(SEARCH(D$1,'Menú y Pantallas'!$F51)),ISNUMBER(SEARCH("Todos",'Menú y Pantallas'!$F51))),"X","")</f>
        <v>X</v>
      </c>
      <c r="E51" s="9" t="str">
        <f aca="false">IF(OR(ISNUMBER(SEARCH(E$1,'Menú y Pantallas'!$F51)),ISNUMBER(SEARCH("Todos",'Menú y Pantallas'!$F51))),"X","")</f>
        <v/>
      </c>
      <c r="F51" s="9" t="str">
        <f aca="false">IF(OR(ISNUMBER(SEARCH(F$1,'Menú y Pantallas'!$F51)),ISNUMBER(SEARCH("Todos",'Menú y Pantallas'!$F51))),"X","")</f>
        <v/>
      </c>
      <c r="G51" s="9" t="str">
        <f aca="false">IF(OR(ISNUMBER(SEARCH(G$1,'Menú y Pantallas'!$F51)),ISNUMBER(SEARCH("Todos",'Menú y Pantallas'!$F51))),"X","")</f>
        <v/>
      </c>
      <c r="H51" s="9" t="str">
        <f aca="false">IF(OR(ISNUMBER(SEARCH(H$1,'Menú y Pantallas'!$F51)),ISNUMBER(SEARCH("Todos",'Menú y Pantallas'!$F51))),"X","")</f>
        <v/>
      </c>
      <c r="I51" s="9" t="str">
        <f aca="false">IF(OR(ISNUMBER(SEARCH(I$1,'Menú y Pantallas'!$F51)),ISNUMBER(SEARCH("Todos",'Menú y Pantallas'!$F51))),"X","")</f>
        <v/>
      </c>
      <c r="J51" s="9" t="str">
        <f aca="false">IF(OR(ISNUMBER(SEARCH(J$1,'Menú y Pantallas'!$F51)),ISNUMBER(SEARCH("Todos",'Menú y Pantallas'!$F51))),"X","")</f>
        <v/>
      </c>
      <c r="K51" s="9" t="str">
        <f aca="false">IF(OR(ISNUMBER(SEARCH(K$1,'Menú y Pantallas'!$F51)),ISNUMBER(SEARCH("Todos",'Menú y Pantallas'!$F51))),"X","")</f>
        <v/>
      </c>
      <c r="L51" s="9" t="str">
        <f aca="false">IF(OR(ISNUMBER(SEARCH(L$1,'Menú y Pantallas'!$F51)),ISNUMBER(SEARCH("Todos",'Menú y Pantallas'!$F51))),"X","")</f>
        <v>X</v>
      </c>
    </row>
    <row r="52" customFormat="false" ht="15" hidden="false" customHeight="false" outlineLevel="0" collapsed="false">
      <c r="A52" s="7" t="str">
        <f aca="false">'Menú y Pantallas'!C52</f>
        <v>10.1</v>
      </c>
      <c r="B52" s="8" t="str">
        <f aca="false">'Menú y Pantallas'!D52</f>
        <v>Inventario rezagado (AIP)</v>
      </c>
      <c r="C52" s="9" t="str">
        <f aca="false">IF(OR(ISNUMBER(SEARCH(C$1,'Menú y Pantallas'!$F52)),ISNUMBER(SEARCH("Todos",'Menú y Pantallas'!$F52))),"X","")</f>
        <v/>
      </c>
      <c r="D52" s="9" t="str">
        <f aca="false">IF(OR(ISNUMBER(SEARCH(D$1,'Menú y Pantallas'!$F52)),ISNUMBER(SEARCH("Todos",'Menú y Pantallas'!$F52))),"X","")</f>
        <v>X</v>
      </c>
      <c r="E52" s="9" t="str">
        <f aca="false">IF(OR(ISNUMBER(SEARCH(E$1,'Menú y Pantallas'!$F52)),ISNUMBER(SEARCH("Todos",'Menú y Pantallas'!$F52))),"X","")</f>
        <v/>
      </c>
      <c r="F52" s="9" t="str">
        <f aca="false">IF(OR(ISNUMBER(SEARCH(F$1,'Menú y Pantallas'!$F52)),ISNUMBER(SEARCH("Todos",'Menú y Pantallas'!$F52))),"X","")</f>
        <v/>
      </c>
      <c r="G52" s="9" t="str">
        <f aca="false">IF(OR(ISNUMBER(SEARCH(G$1,'Menú y Pantallas'!$F52)),ISNUMBER(SEARCH("Todos",'Menú y Pantallas'!$F52))),"X","")</f>
        <v/>
      </c>
      <c r="H52" s="9" t="str">
        <f aca="false">IF(OR(ISNUMBER(SEARCH(H$1,'Menú y Pantallas'!$F52)),ISNUMBER(SEARCH("Todos",'Menú y Pantallas'!$F52))),"X","")</f>
        <v/>
      </c>
      <c r="I52" s="9" t="str">
        <f aca="false">IF(OR(ISNUMBER(SEARCH(I$1,'Menú y Pantallas'!$F52)),ISNUMBER(SEARCH("Todos",'Menú y Pantallas'!$F52))),"X","")</f>
        <v/>
      </c>
      <c r="J52" s="9" t="str">
        <f aca="false">IF(OR(ISNUMBER(SEARCH(J$1,'Menú y Pantallas'!$F52)),ISNUMBER(SEARCH("Todos",'Menú y Pantallas'!$F52))),"X","")</f>
        <v>X</v>
      </c>
      <c r="K52" s="9" t="str">
        <f aca="false">IF(OR(ISNUMBER(SEARCH(K$1,'Menú y Pantallas'!$F52)),ISNUMBER(SEARCH("Todos",'Menú y Pantallas'!$F52))),"X","")</f>
        <v/>
      </c>
      <c r="L52" s="9" t="str">
        <f aca="false">IF(OR(ISNUMBER(SEARCH(L$1,'Menú y Pantallas'!$F52)),ISNUMBER(SEARCH("Todos",'Menú y Pantallas'!$F52))),"X","")</f>
        <v>X</v>
      </c>
    </row>
    <row r="53" customFormat="false" ht="15" hidden="false" customHeight="false" outlineLevel="0" collapsed="false">
      <c r="A53" s="7" t="str">
        <f aca="false">'Menú y Pantallas'!C53</f>
        <v>10.2</v>
      </c>
      <c r="B53" s="8" t="str">
        <f aca="false">'Menú y Pantallas'!D53</f>
        <v>Registro de mermas</v>
      </c>
      <c r="C53" s="9" t="str">
        <f aca="false">IF(OR(ISNUMBER(SEARCH(C$1,'Menú y Pantallas'!$F53)),ISNUMBER(SEARCH("Todos",'Menú y Pantallas'!$F53))),"X","")</f>
        <v/>
      </c>
      <c r="D53" s="9" t="str">
        <f aca="false">IF(OR(ISNUMBER(SEARCH(D$1,'Menú y Pantallas'!$F53)),ISNUMBER(SEARCH("Todos",'Menú y Pantallas'!$F53))),"X","")</f>
        <v>X</v>
      </c>
      <c r="E53" s="9" t="str">
        <f aca="false">IF(OR(ISNUMBER(SEARCH(E$1,'Menú y Pantallas'!$F53)),ISNUMBER(SEARCH("Todos",'Menú y Pantallas'!$F53))),"X","")</f>
        <v>X</v>
      </c>
      <c r="F53" s="9" t="str">
        <f aca="false">IF(OR(ISNUMBER(SEARCH(F$1,'Menú y Pantallas'!$F53)),ISNUMBER(SEARCH("Todos",'Menú y Pantallas'!$F53))),"X","")</f>
        <v>X</v>
      </c>
      <c r="G53" s="9" t="str">
        <f aca="false">IF(OR(ISNUMBER(SEARCH(G$1,'Menú y Pantallas'!$F53)),ISNUMBER(SEARCH("Todos",'Menú y Pantallas'!$F53))),"X","")</f>
        <v/>
      </c>
      <c r="H53" s="9" t="str">
        <f aca="false">IF(OR(ISNUMBER(SEARCH(H$1,'Menú y Pantallas'!$F53)),ISNUMBER(SEARCH("Todos",'Menú y Pantallas'!$F53))),"X","")</f>
        <v/>
      </c>
      <c r="I53" s="9" t="str">
        <f aca="false">IF(OR(ISNUMBER(SEARCH(I$1,'Menú y Pantallas'!$F53)),ISNUMBER(SEARCH("Todos",'Menú y Pantallas'!$F53))),"X","")</f>
        <v/>
      </c>
      <c r="J53" s="9" t="str">
        <f aca="false">IF(OR(ISNUMBER(SEARCH(J$1,'Menú y Pantallas'!$F53)),ISNUMBER(SEARCH("Todos",'Menú y Pantallas'!$F53))),"X","")</f>
        <v/>
      </c>
      <c r="K53" s="9" t="str">
        <f aca="false">IF(OR(ISNUMBER(SEARCH(K$1,'Menú y Pantallas'!$F53)),ISNUMBER(SEARCH("Todos",'Menú y Pantallas'!$F53))),"X","")</f>
        <v/>
      </c>
      <c r="L53" s="9" t="str">
        <f aca="false">IF(OR(ISNUMBER(SEARCH(L$1,'Menú y Pantallas'!$F53)),ISNUMBER(SEARCH("Todos",'Menú y Pantallas'!$F53))),"X","")</f>
        <v/>
      </c>
    </row>
    <row r="54" customFormat="false" ht="15" hidden="false" customHeight="false" outlineLevel="0" collapsed="false">
      <c r="A54" s="7" t="str">
        <f aca="false">'Menú y Pantallas'!C54</f>
        <v>10.3</v>
      </c>
      <c r="B54" s="8" t="str">
        <f aca="false">'Menú y Pantallas'!D54</f>
        <v>Aprobación de bajas</v>
      </c>
      <c r="C54" s="9" t="str">
        <f aca="false">IF(OR(ISNUMBER(SEARCH(C$1,'Menú y Pantallas'!$F54)),ISNUMBER(SEARCH("Todos",'Menú y Pantallas'!$F54))),"X","")</f>
        <v/>
      </c>
      <c r="D54" s="9" t="str">
        <f aca="false">IF(OR(ISNUMBER(SEARCH(D$1,'Menú y Pantallas'!$F54)),ISNUMBER(SEARCH("Todos",'Menú y Pantallas'!$F54))),"X","")</f>
        <v>X</v>
      </c>
      <c r="E54" s="9" t="str">
        <f aca="false">IF(OR(ISNUMBER(SEARCH(E$1,'Menú y Pantallas'!$F54)),ISNUMBER(SEARCH("Todos",'Menú y Pantallas'!$F54))),"X","")</f>
        <v/>
      </c>
      <c r="F54" s="9" t="str">
        <f aca="false">IF(OR(ISNUMBER(SEARCH(F$1,'Menú y Pantallas'!$F54)),ISNUMBER(SEARCH("Todos",'Menú y Pantallas'!$F54))),"X","")</f>
        <v/>
      </c>
      <c r="G54" s="9" t="str">
        <f aca="false">IF(OR(ISNUMBER(SEARCH(G$1,'Menú y Pantallas'!$F54)),ISNUMBER(SEARCH("Todos",'Menú y Pantallas'!$F54))),"X","")</f>
        <v/>
      </c>
      <c r="H54" s="9" t="str">
        <f aca="false">IF(OR(ISNUMBER(SEARCH(H$1,'Menú y Pantallas'!$F54)),ISNUMBER(SEARCH("Todos",'Menú y Pantallas'!$F54))),"X","")</f>
        <v/>
      </c>
      <c r="I54" s="9" t="str">
        <f aca="false">IF(OR(ISNUMBER(SEARCH(I$1,'Menú y Pantallas'!$F54)),ISNUMBER(SEARCH("Todos",'Menú y Pantallas'!$F54))),"X","")</f>
        <v>X</v>
      </c>
      <c r="J54" s="9" t="str">
        <f aca="false">IF(OR(ISNUMBER(SEARCH(J$1,'Menú y Pantallas'!$F54)),ISNUMBER(SEARCH("Todos",'Menú y Pantallas'!$F54))),"X","")</f>
        <v/>
      </c>
      <c r="K54" s="9" t="str">
        <f aca="false">IF(OR(ISNUMBER(SEARCH(K$1,'Menú y Pantallas'!$F54)),ISNUMBER(SEARCH("Todos",'Menú y Pantallas'!$F54))),"X","")</f>
        <v/>
      </c>
      <c r="L54" s="9" t="str">
        <f aca="false">IF(OR(ISNUMBER(SEARCH(L$1,'Menú y Pantallas'!$F54)),ISNUMBER(SEARCH("Todos",'Menú y Pantallas'!$F54))),"X","")</f>
        <v>X</v>
      </c>
    </row>
    <row r="55" customFormat="false" ht="15" hidden="false" customHeight="false" outlineLevel="0" collapsed="false">
      <c r="A55" s="7" t="str">
        <f aca="false">'Menú y Pantallas'!C55</f>
        <v>10.4</v>
      </c>
      <c r="B55" s="8" t="str">
        <f aca="false">'Menú y Pantallas'!D55</f>
        <v>Programación de conteos</v>
      </c>
      <c r="C55" s="9" t="str">
        <f aca="false">IF(OR(ISNUMBER(SEARCH(C$1,'Menú y Pantallas'!$F55)),ISNUMBER(SEARCH("Todos",'Menú y Pantallas'!$F55))),"X","")</f>
        <v/>
      </c>
      <c r="D55" s="9" t="str">
        <f aca="false">IF(OR(ISNUMBER(SEARCH(D$1,'Menú y Pantallas'!$F55)),ISNUMBER(SEARCH("Todos",'Menú y Pantallas'!$F55))),"X","")</f>
        <v>X</v>
      </c>
      <c r="E55" s="9" t="str">
        <f aca="false">IF(OR(ISNUMBER(SEARCH(E$1,'Menú y Pantallas'!$F55)),ISNUMBER(SEARCH("Todos",'Menú y Pantallas'!$F55))),"X","")</f>
        <v/>
      </c>
      <c r="F55" s="9" t="str">
        <f aca="false">IF(OR(ISNUMBER(SEARCH(F$1,'Menú y Pantallas'!$F55)),ISNUMBER(SEARCH("Todos",'Menú y Pantallas'!$F55))),"X","")</f>
        <v/>
      </c>
      <c r="G55" s="9" t="str">
        <f aca="false">IF(OR(ISNUMBER(SEARCH(G$1,'Menú y Pantallas'!$F55)),ISNUMBER(SEARCH("Todos",'Menú y Pantallas'!$F55))),"X","")</f>
        <v/>
      </c>
      <c r="H55" s="9" t="str">
        <f aca="false">IF(OR(ISNUMBER(SEARCH(H$1,'Menú y Pantallas'!$F55)),ISNUMBER(SEARCH("Todos",'Menú y Pantallas'!$F55))),"X","")</f>
        <v/>
      </c>
      <c r="I55" s="9" t="str">
        <f aca="false">IF(OR(ISNUMBER(SEARCH(I$1,'Menú y Pantallas'!$F55)),ISNUMBER(SEARCH("Todos",'Menú y Pantallas'!$F55))),"X","")</f>
        <v>X</v>
      </c>
      <c r="J55" s="9" t="str">
        <f aca="false">IF(OR(ISNUMBER(SEARCH(J$1,'Menú y Pantallas'!$F55)),ISNUMBER(SEARCH("Todos",'Menú y Pantallas'!$F55))),"X","")</f>
        <v/>
      </c>
      <c r="K55" s="9" t="str">
        <f aca="false">IF(OR(ISNUMBER(SEARCH(K$1,'Menú y Pantallas'!$F55)),ISNUMBER(SEARCH("Todos",'Menú y Pantallas'!$F55))),"X","")</f>
        <v/>
      </c>
      <c r="L55" s="9" t="str">
        <f aca="false">IF(OR(ISNUMBER(SEARCH(L$1,'Menú y Pantallas'!$F55)),ISNUMBER(SEARCH("Todos",'Menú y Pantallas'!$F55))),"X","")</f>
        <v/>
      </c>
    </row>
    <row r="56" customFormat="false" ht="15" hidden="false" customHeight="false" outlineLevel="0" collapsed="false">
      <c r="A56" s="7" t="str">
        <f aca="false">'Menú y Pantallas'!C56</f>
        <v>10.5</v>
      </c>
      <c r="B56" s="8" t="str">
        <f aca="false">'Menú y Pantallas'!D56</f>
        <v>Conteo ciego</v>
      </c>
      <c r="C56" s="9" t="str">
        <f aca="false">IF(OR(ISNUMBER(SEARCH(C$1,'Menú y Pantallas'!$F56)),ISNUMBER(SEARCH("Todos",'Menú y Pantallas'!$F56))),"X","")</f>
        <v/>
      </c>
      <c r="D56" s="9" t="str">
        <f aca="false">IF(OR(ISNUMBER(SEARCH(D$1,'Menú y Pantallas'!$F56)),ISNUMBER(SEARCH("Todos",'Menú y Pantallas'!$F56))),"X","")</f>
        <v/>
      </c>
      <c r="E56" s="9" t="str">
        <f aca="false">IF(OR(ISNUMBER(SEARCH(E$1,'Menú y Pantallas'!$F56)),ISNUMBER(SEARCH("Todos",'Menú y Pantallas'!$F56))),"X","")</f>
        <v>X</v>
      </c>
      <c r="F56" s="9" t="str">
        <f aca="false">IF(OR(ISNUMBER(SEARCH(F$1,'Menú y Pantallas'!$F56)),ISNUMBER(SEARCH("Todos",'Menú y Pantallas'!$F56))),"X","")</f>
        <v>X</v>
      </c>
      <c r="G56" s="9" t="str">
        <f aca="false">IF(OR(ISNUMBER(SEARCH(G$1,'Menú y Pantallas'!$F56)),ISNUMBER(SEARCH("Todos",'Menú y Pantallas'!$F56))),"X","")</f>
        <v/>
      </c>
      <c r="H56" s="9" t="str">
        <f aca="false">IF(OR(ISNUMBER(SEARCH(H$1,'Menú y Pantallas'!$F56)),ISNUMBER(SEARCH("Todos",'Menú y Pantallas'!$F56))),"X","")</f>
        <v/>
      </c>
      <c r="I56" s="9" t="str">
        <f aca="false">IF(OR(ISNUMBER(SEARCH(I$1,'Menú y Pantallas'!$F56)),ISNUMBER(SEARCH("Todos",'Menú y Pantallas'!$F56))),"X","")</f>
        <v>X</v>
      </c>
      <c r="J56" s="9" t="str">
        <f aca="false">IF(OR(ISNUMBER(SEARCH(J$1,'Menú y Pantallas'!$F56)),ISNUMBER(SEARCH("Todos",'Menú y Pantallas'!$F56))),"X","")</f>
        <v/>
      </c>
      <c r="K56" s="9" t="str">
        <f aca="false">IF(OR(ISNUMBER(SEARCH(K$1,'Menú y Pantallas'!$F56)),ISNUMBER(SEARCH("Todos",'Menú y Pantallas'!$F56))),"X","")</f>
        <v/>
      </c>
      <c r="L56" s="9" t="str">
        <f aca="false">IF(OR(ISNUMBER(SEARCH(L$1,'Menú y Pantallas'!$F56)),ISNUMBER(SEARCH("Todos",'Menú y Pantallas'!$F56))),"X","")</f>
        <v/>
      </c>
    </row>
    <row r="57" customFormat="false" ht="15" hidden="false" customHeight="false" outlineLevel="0" collapsed="false">
      <c r="A57" s="7" t="str">
        <f aca="false">'Menú y Pantallas'!C57</f>
        <v>10.6</v>
      </c>
      <c r="B57" s="8" t="str">
        <f aca="false">'Menú y Pantallas'!D57</f>
        <v>Diferencias y ajustes</v>
      </c>
      <c r="C57" s="9" t="str">
        <f aca="false">IF(OR(ISNUMBER(SEARCH(C$1,'Menú y Pantallas'!$F57)),ISNUMBER(SEARCH("Todos",'Menú y Pantallas'!$F57))),"X","")</f>
        <v/>
      </c>
      <c r="D57" s="9" t="str">
        <f aca="false">IF(OR(ISNUMBER(SEARCH(D$1,'Menú y Pantallas'!$F57)),ISNUMBER(SEARCH("Todos",'Menú y Pantallas'!$F57))),"X","")</f>
        <v>X</v>
      </c>
      <c r="E57" s="9" t="str">
        <f aca="false">IF(OR(ISNUMBER(SEARCH(E$1,'Menú y Pantallas'!$F57)),ISNUMBER(SEARCH("Todos",'Menú y Pantallas'!$F57))),"X","")</f>
        <v/>
      </c>
      <c r="F57" s="9" t="str">
        <f aca="false">IF(OR(ISNUMBER(SEARCH(F$1,'Menú y Pantallas'!$F57)),ISNUMBER(SEARCH("Todos",'Menú y Pantallas'!$F57))),"X","")</f>
        <v/>
      </c>
      <c r="G57" s="9" t="str">
        <f aca="false">IF(OR(ISNUMBER(SEARCH(G$1,'Menú y Pantallas'!$F57)),ISNUMBER(SEARCH("Todos",'Menú y Pantallas'!$F57))),"X","")</f>
        <v/>
      </c>
      <c r="H57" s="9" t="str">
        <f aca="false">IF(OR(ISNUMBER(SEARCH(H$1,'Menú y Pantallas'!$F57)),ISNUMBER(SEARCH("Todos",'Menú y Pantallas'!$F57))),"X","")</f>
        <v/>
      </c>
      <c r="I57" s="9" t="str">
        <f aca="false">IF(OR(ISNUMBER(SEARCH(I$1,'Menú y Pantallas'!$F57)),ISNUMBER(SEARCH("Todos",'Menú y Pantallas'!$F57))),"X","")</f>
        <v>X</v>
      </c>
      <c r="J57" s="9" t="str">
        <f aca="false">IF(OR(ISNUMBER(SEARCH(J$1,'Menú y Pantallas'!$F57)),ISNUMBER(SEARCH("Todos",'Menú y Pantallas'!$F57))),"X","")</f>
        <v/>
      </c>
      <c r="K57" s="9" t="str">
        <f aca="false">IF(OR(ISNUMBER(SEARCH(K$1,'Menú y Pantallas'!$F57)),ISNUMBER(SEARCH("Todos",'Menú y Pantallas'!$F57))),"X","")</f>
        <v/>
      </c>
      <c r="L57" s="9" t="str">
        <f aca="false">IF(OR(ISNUMBER(SEARCH(L$1,'Menú y Pantallas'!$F57)),ISNUMBER(SEARCH("Todos",'Menú y Pantallas'!$F57))),"X","")</f>
        <v>X</v>
      </c>
    </row>
    <row r="58" customFormat="false" ht="15" hidden="false" customHeight="false" outlineLevel="0" collapsed="false">
      <c r="A58" s="7" t="str">
        <f aca="false">'Menú y Pantallas'!C58</f>
        <v>10.7</v>
      </c>
      <c r="B58" s="8" t="str">
        <f aca="false">'Menú y Pantallas'!D58</f>
        <v>Vencimientos</v>
      </c>
      <c r="C58" s="9" t="str">
        <f aca="false">IF(OR(ISNUMBER(SEARCH(C$1,'Menú y Pantallas'!$F58)),ISNUMBER(SEARCH("Todos",'Menú y Pantallas'!$F58))),"X","")</f>
        <v/>
      </c>
      <c r="D58" s="9" t="str">
        <f aca="false">IF(OR(ISNUMBER(SEARCH(D$1,'Menú y Pantallas'!$F58)),ISNUMBER(SEARCH("Todos",'Menú y Pantallas'!$F58))),"X","")</f>
        <v>X</v>
      </c>
      <c r="E58" s="9" t="str">
        <f aca="false">IF(OR(ISNUMBER(SEARCH(E$1,'Menú y Pantallas'!$F58)),ISNUMBER(SEARCH("Todos",'Menú y Pantallas'!$F58))),"X","")</f>
        <v/>
      </c>
      <c r="F58" s="9" t="str">
        <f aca="false">IF(OR(ISNUMBER(SEARCH(F$1,'Menú y Pantallas'!$F58)),ISNUMBER(SEARCH("Todos",'Menú y Pantallas'!$F58))),"X","")</f>
        <v/>
      </c>
      <c r="G58" s="9" t="str">
        <f aca="false">IF(OR(ISNUMBER(SEARCH(G$1,'Menú y Pantallas'!$F58)),ISNUMBER(SEARCH("Todos",'Menú y Pantallas'!$F58))),"X","")</f>
        <v/>
      </c>
      <c r="H58" s="9" t="str">
        <f aca="false">IF(OR(ISNUMBER(SEARCH(H$1,'Menú y Pantallas'!$F58)),ISNUMBER(SEARCH("Todos",'Menú y Pantallas'!$F58))),"X","")</f>
        <v>X</v>
      </c>
      <c r="I58" s="9" t="str">
        <f aca="false">IF(OR(ISNUMBER(SEARCH(I$1,'Menú y Pantallas'!$F58)),ISNUMBER(SEARCH("Todos",'Menú y Pantallas'!$F58))),"X","")</f>
        <v/>
      </c>
      <c r="J58" s="9" t="str">
        <f aca="false">IF(OR(ISNUMBER(SEARCH(J$1,'Menú y Pantallas'!$F58)),ISNUMBER(SEARCH("Todos",'Menú y Pantallas'!$F58))),"X","")</f>
        <v/>
      </c>
      <c r="K58" s="9" t="str">
        <f aca="false">IF(OR(ISNUMBER(SEARCH(K$1,'Menú y Pantallas'!$F58)),ISNUMBER(SEARCH("Todos",'Menú y Pantallas'!$F58))),"X","")</f>
        <v/>
      </c>
      <c r="L58" s="9" t="str">
        <f aca="false">IF(OR(ISNUMBER(SEARCH(L$1,'Menú y Pantallas'!$F58)),ISNUMBER(SEARCH("Todos",'Menú y Pantallas'!$F58))),"X","")</f>
        <v/>
      </c>
    </row>
    <row r="59" customFormat="false" ht="15" hidden="false" customHeight="false" outlineLevel="0" collapsed="false">
      <c r="A59" s="7" t="str">
        <f aca="false">'Menú y Pantallas'!C59</f>
        <v>11.1</v>
      </c>
      <c r="B59" s="8" t="str">
        <f aca="false">'Menú y Pantallas'!D59</f>
        <v>Usuarios y roles (RBAC)</v>
      </c>
      <c r="C59" s="9" t="str">
        <f aca="false">IF(OR(ISNUMBER(SEARCH(C$1,'Menú y Pantallas'!$F59)),ISNUMBER(SEARCH("Todos",'Menú y Pantallas'!$F59))),"X","")</f>
        <v>X</v>
      </c>
      <c r="D59" s="9" t="str">
        <f aca="false">IF(OR(ISNUMBER(SEARCH(D$1,'Menú y Pantallas'!$F59)),ISNUMBER(SEARCH("Todos",'Menú y Pantallas'!$F59))),"X","")</f>
        <v/>
      </c>
      <c r="E59" s="9" t="str">
        <f aca="false">IF(OR(ISNUMBER(SEARCH(E$1,'Menú y Pantallas'!$F59)),ISNUMBER(SEARCH("Todos",'Menú y Pantallas'!$F59))),"X","")</f>
        <v/>
      </c>
      <c r="F59" s="9" t="str">
        <f aca="false">IF(OR(ISNUMBER(SEARCH(F$1,'Menú y Pantallas'!$F59)),ISNUMBER(SEARCH("Todos",'Menú y Pantallas'!$F59))),"X","")</f>
        <v/>
      </c>
      <c r="G59" s="9" t="str">
        <f aca="false">IF(OR(ISNUMBER(SEARCH(G$1,'Menú y Pantallas'!$F59)),ISNUMBER(SEARCH("Todos",'Menú y Pantallas'!$F59))),"X","")</f>
        <v/>
      </c>
      <c r="H59" s="9" t="str">
        <f aca="false">IF(OR(ISNUMBER(SEARCH(H$1,'Menú y Pantallas'!$F59)),ISNUMBER(SEARCH("Todos",'Menú y Pantallas'!$F59))),"X","")</f>
        <v/>
      </c>
      <c r="I59" s="9" t="str">
        <f aca="false">IF(OR(ISNUMBER(SEARCH(I$1,'Menú y Pantallas'!$F59)),ISNUMBER(SEARCH("Todos",'Menú y Pantallas'!$F59))),"X","")</f>
        <v/>
      </c>
      <c r="J59" s="9" t="str">
        <f aca="false">IF(OR(ISNUMBER(SEARCH(J$1,'Menú y Pantallas'!$F59)),ISNUMBER(SEARCH("Todos",'Menú y Pantallas'!$F59))),"X","")</f>
        <v/>
      </c>
      <c r="K59" s="9" t="str">
        <f aca="false">IF(OR(ISNUMBER(SEARCH(K$1,'Menú y Pantallas'!$F59)),ISNUMBER(SEARCH("Todos",'Menú y Pantallas'!$F59))),"X","")</f>
        <v/>
      </c>
      <c r="L59" s="9" t="str">
        <f aca="false">IF(OR(ISNUMBER(SEARCH(L$1,'Menú y Pantallas'!$F59)),ISNUMBER(SEARCH("Todos",'Menú y Pantallas'!$F59))),"X","")</f>
        <v/>
      </c>
    </row>
    <row r="60" customFormat="false" ht="15" hidden="false" customHeight="false" outlineLevel="0" collapsed="false">
      <c r="A60" s="7" t="str">
        <f aca="false">'Menú y Pantallas'!C60</f>
        <v>11.2</v>
      </c>
      <c r="B60" s="8" t="str">
        <f aca="false">'Menú y Pantallas'!D60</f>
        <v>Seguridad y auditoría</v>
      </c>
      <c r="C60" s="9" t="str">
        <f aca="false">IF(OR(ISNUMBER(SEARCH(C$1,'Menú y Pantallas'!$F60)),ISNUMBER(SEARCH("Todos",'Menú y Pantallas'!$F60))),"X","")</f>
        <v>X</v>
      </c>
      <c r="D60" s="9" t="str">
        <f aca="false">IF(OR(ISNUMBER(SEARCH(D$1,'Menú y Pantallas'!$F60)),ISNUMBER(SEARCH("Todos",'Menú y Pantallas'!$F60))),"X","")</f>
        <v/>
      </c>
      <c r="E60" s="9" t="str">
        <f aca="false">IF(OR(ISNUMBER(SEARCH(E$1,'Menú y Pantallas'!$F60)),ISNUMBER(SEARCH("Todos",'Menú y Pantallas'!$F60))),"X","")</f>
        <v/>
      </c>
      <c r="F60" s="9" t="str">
        <f aca="false">IF(OR(ISNUMBER(SEARCH(F$1,'Menú y Pantallas'!$F60)),ISNUMBER(SEARCH("Todos",'Menú y Pantallas'!$F60))),"X","")</f>
        <v/>
      </c>
      <c r="G60" s="9" t="str">
        <f aca="false">IF(OR(ISNUMBER(SEARCH(G$1,'Menú y Pantallas'!$F60)),ISNUMBER(SEARCH("Todos",'Menú y Pantallas'!$F60))),"X","")</f>
        <v/>
      </c>
      <c r="H60" s="9" t="str">
        <f aca="false">IF(OR(ISNUMBER(SEARCH(H$1,'Menú y Pantallas'!$F60)),ISNUMBER(SEARCH("Todos",'Menú y Pantallas'!$F60))),"X","")</f>
        <v/>
      </c>
      <c r="I60" s="9" t="str">
        <f aca="false">IF(OR(ISNUMBER(SEARCH(I$1,'Menú y Pantallas'!$F60)),ISNUMBER(SEARCH("Todos",'Menú y Pantallas'!$F60))),"X","")</f>
        <v>X</v>
      </c>
      <c r="J60" s="9" t="str">
        <f aca="false">IF(OR(ISNUMBER(SEARCH(J$1,'Menú y Pantallas'!$F60)),ISNUMBER(SEARCH("Todos",'Menú y Pantallas'!$F60))),"X","")</f>
        <v/>
      </c>
      <c r="K60" s="9" t="str">
        <f aca="false">IF(OR(ISNUMBER(SEARCH(K$1,'Menú y Pantallas'!$F60)),ISNUMBER(SEARCH("Todos",'Menú y Pantallas'!$F60))),"X","")</f>
        <v/>
      </c>
      <c r="L60" s="9" t="str">
        <f aca="false">IF(OR(ISNUMBER(SEARCH(L$1,'Menú y Pantallas'!$F60)),ISNUMBER(SEARCH("Todos",'Menú y Pantallas'!$F60))),"X","")</f>
        <v/>
      </c>
    </row>
    <row r="61" customFormat="false" ht="15" hidden="false" customHeight="false" outlineLevel="0" collapsed="false">
      <c r="A61" s="7" t="str">
        <f aca="false">'Menú y Pantallas'!C61</f>
        <v>11.3</v>
      </c>
      <c r="B61" s="8" t="str">
        <f aca="false">'Menú y Pantallas'!D61</f>
        <v>Catálogo de SKUs</v>
      </c>
      <c r="C61" s="9" t="str">
        <f aca="false">IF(OR(ISNUMBER(SEARCH(C$1,'Menú y Pantallas'!$F61)),ISNUMBER(SEARCH("Todos",'Menú y Pantallas'!$F61))),"X","")</f>
        <v>X</v>
      </c>
      <c r="D61" s="9" t="str">
        <f aca="false">IF(OR(ISNUMBER(SEARCH(D$1,'Menú y Pantallas'!$F61)),ISNUMBER(SEARCH("Todos",'Menú y Pantallas'!$F61))),"X","")</f>
        <v>X</v>
      </c>
      <c r="E61" s="9" t="str">
        <f aca="false">IF(OR(ISNUMBER(SEARCH(E$1,'Menú y Pantallas'!$F61)),ISNUMBER(SEARCH("Todos",'Menú y Pantallas'!$F61))),"X","")</f>
        <v/>
      </c>
      <c r="F61" s="9" t="str">
        <f aca="false">IF(OR(ISNUMBER(SEARCH(F$1,'Menú y Pantallas'!$F61)),ISNUMBER(SEARCH("Todos",'Menú y Pantallas'!$F61))),"X","")</f>
        <v/>
      </c>
      <c r="G61" s="9" t="str">
        <f aca="false">IF(OR(ISNUMBER(SEARCH(G$1,'Menú y Pantallas'!$F61)),ISNUMBER(SEARCH("Todos",'Menú y Pantallas'!$F61))),"X","")</f>
        <v/>
      </c>
      <c r="H61" s="9" t="str">
        <f aca="false">IF(OR(ISNUMBER(SEARCH(H$1,'Menú y Pantallas'!$F61)),ISNUMBER(SEARCH("Todos",'Menú y Pantallas'!$F61))),"X","")</f>
        <v/>
      </c>
      <c r="I61" s="9" t="str">
        <f aca="false">IF(OR(ISNUMBER(SEARCH(I$1,'Menú y Pantallas'!$F61)),ISNUMBER(SEARCH("Todos",'Menú y Pantallas'!$F61))),"X","")</f>
        <v/>
      </c>
      <c r="J61" s="9" t="str">
        <f aca="false">IF(OR(ISNUMBER(SEARCH(J$1,'Menú y Pantallas'!$F61)),ISNUMBER(SEARCH("Todos",'Menú y Pantallas'!$F61))),"X","")</f>
        <v/>
      </c>
      <c r="K61" s="9" t="str">
        <f aca="false">IF(OR(ISNUMBER(SEARCH(K$1,'Menú y Pantallas'!$F61)),ISNUMBER(SEARCH("Todos",'Menú y Pantallas'!$F61))),"X","")</f>
        <v/>
      </c>
      <c r="L61" s="9" t="str">
        <f aca="false">IF(OR(ISNUMBER(SEARCH(L$1,'Menú y Pantallas'!$F61)),ISNUMBER(SEARCH("Todos",'Menú y Pantallas'!$F61))),"X","")</f>
        <v/>
      </c>
    </row>
    <row r="62" customFormat="false" ht="15" hidden="false" customHeight="false" outlineLevel="0" collapsed="false">
      <c r="A62" s="7" t="str">
        <f aca="false">'Menú y Pantallas'!C62</f>
        <v>11.4</v>
      </c>
      <c r="B62" s="8" t="str">
        <f aca="false">'Menú y Pantallas'!D62</f>
        <v>Unidades y conversiones</v>
      </c>
      <c r="C62" s="9" t="str">
        <f aca="false">IF(OR(ISNUMBER(SEARCH(C$1,'Menú y Pantallas'!$F62)),ISNUMBER(SEARCH("Todos",'Menú y Pantallas'!$F62))),"X","")</f>
        <v>X</v>
      </c>
      <c r="D62" s="9" t="str">
        <f aca="false">IF(OR(ISNUMBER(SEARCH(D$1,'Menú y Pantallas'!$F62)),ISNUMBER(SEARCH("Todos",'Menú y Pantallas'!$F62))),"X","")</f>
        <v/>
      </c>
      <c r="E62" s="9" t="str">
        <f aca="false">IF(OR(ISNUMBER(SEARCH(E$1,'Menú y Pantallas'!$F62)),ISNUMBER(SEARCH("Todos",'Menú y Pantallas'!$F62))),"X","")</f>
        <v/>
      </c>
      <c r="F62" s="9" t="str">
        <f aca="false">IF(OR(ISNUMBER(SEARCH(F$1,'Menú y Pantallas'!$F62)),ISNUMBER(SEARCH("Todos",'Menú y Pantallas'!$F62))),"X","")</f>
        <v/>
      </c>
      <c r="G62" s="9" t="str">
        <f aca="false">IF(OR(ISNUMBER(SEARCH(G$1,'Menú y Pantallas'!$F62)),ISNUMBER(SEARCH("Todos",'Menú y Pantallas'!$F62))),"X","")</f>
        <v/>
      </c>
      <c r="H62" s="9" t="str">
        <f aca="false">IF(OR(ISNUMBER(SEARCH(H$1,'Menú y Pantallas'!$F62)),ISNUMBER(SEARCH("Todos",'Menú y Pantallas'!$F62))),"X","")</f>
        <v/>
      </c>
      <c r="I62" s="9" t="str">
        <f aca="false">IF(OR(ISNUMBER(SEARCH(I$1,'Menú y Pantallas'!$F62)),ISNUMBER(SEARCH("Todos",'Menú y Pantallas'!$F62))),"X","")</f>
        <v/>
      </c>
      <c r="J62" s="9" t="str">
        <f aca="false">IF(OR(ISNUMBER(SEARCH(J$1,'Menú y Pantallas'!$F62)),ISNUMBER(SEARCH("Todos",'Menú y Pantallas'!$F62))),"X","")</f>
        <v/>
      </c>
      <c r="K62" s="9" t="str">
        <f aca="false">IF(OR(ISNUMBER(SEARCH(K$1,'Menú y Pantallas'!$F62)),ISNUMBER(SEARCH("Todos",'Menú y Pantallas'!$F62))),"X","")</f>
        <v/>
      </c>
      <c r="L62" s="9" t="str">
        <f aca="false">IF(OR(ISNUMBER(SEARCH(L$1,'Menú y Pantallas'!$F62)),ISNUMBER(SEARCH("Todos",'Menú y Pantallas'!$F62))),"X","")</f>
        <v/>
      </c>
    </row>
    <row r="63" customFormat="false" ht="15" hidden="false" customHeight="false" outlineLevel="0" collapsed="false">
      <c r="A63" s="7" t="str">
        <f aca="false">'Menú y Pantallas'!C63</f>
        <v>11.5</v>
      </c>
      <c r="B63" s="8" t="str">
        <f aca="false">'Menú y Pantallas'!D63</f>
        <v>Medición, conteo y pesaje</v>
      </c>
      <c r="C63" s="9" t="str">
        <f aca="false">IF(OR(ISNUMBER(SEARCH(C$1,'Menú y Pantallas'!$F63)),ISNUMBER(SEARCH("Todos",'Menú y Pantallas'!$F63))),"X","")</f>
        <v>X</v>
      </c>
      <c r="D63" s="9" t="str">
        <f aca="false">IF(OR(ISNUMBER(SEARCH(D$1,'Menú y Pantallas'!$F63)),ISNUMBER(SEARCH("Todos",'Menú y Pantallas'!$F63))),"X","")</f>
        <v>X</v>
      </c>
      <c r="E63" s="9" t="str">
        <f aca="false">IF(OR(ISNUMBER(SEARCH(E$1,'Menú y Pantallas'!$F63)),ISNUMBER(SEARCH("Todos",'Menú y Pantallas'!$F63))),"X","")</f>
        <v/>
      </c>
      <c r="F63" s="9" t="str">
        <f aca="false">IF(OR(ISNUMBER(SEARCH(F$1,'Menú y Pantallas'!$F63)),ISNUMBER(SEARCH("Todos",'Menú y Pantallas'!$F63))),"X","")</f>
        <v/>
      </c>
      <c r="G63" s="9" t="str">
        <f aca="false">IF(OR(ISNUMBER(SEARCH(G$1,'Menú y Pantallas'!$F63)),ISNUMBER(SEARCH("Todos",'Menú y Pantallas'!$F63))),"X","")</f>
        <v/>
      </c>
      <c r="H63" s="9" t="str">
        <f aca="false">IF(OR(ISNUMBER(SEARCH(H$1,'Menú y Pantallas'!$F63)),ISNUMBER(SEARCH("Todos",'Menú y Pantallas'!$F63))),"X","")</f>
        <v/>
      </c>
      <c r="I63" s="9" t="str">
        <f aca="false">IF(OR(ISNUMBER(SEARCH(I$1,'Menú y Pantallas'!$F63)),ISNUMBER(SEARCH("Todos",'Menú y Pantallas'!$F63))),"X","")</f>
        <v/>
      </c>
      <c r="J63" s="9" t="str">
        <f aca="false">IF(OR(ISNUMBER(SEARCH(J$1,'Menú y Pantallas'!$F63)),ISNUMBER(SEARCH("Todos",'Menú y Pantallas'!$F63))),"X","")</f>
        <v/>
      </c>
      <c r="K63" s="9" t="str">
        <f aca="false">IF(OR(ISNUMBER(SEARCH(K$1,'Menú y Pantallas'!$F63)),ISNUMBER(SEARCH("Todos",'Menú y Pantallas'!$F63))),"X","")</f>
        <v/>
      </c>
      <c r="L63" s="9" t="str">
        <f aca="false">IF(OR(ISNUMBER(SEARCH(L$1,'Menú y Pantallas'!$F63)),ISNUMBER(SEARCH("Todos",'Menú y Pantallas'!$F63))),"X","")</f>
        <v/>
      </c>
    </row>
    <row r="64" customFormat="false" ht="15" hidden="false" customHeight="false" outlineLevel="0" collapsed="false">
      <c r="A64" s="7" t="str">
        <f aca="false">'Menú y Pantallas'!C64</f>
        <v>11.6</v>
      </c>
      <c r="B64" s="8" t="str">
        <f aca="false">'Menú y Pantallas'!D64</f>
        <v>Integraciones y claves API</v>
      </c>
      <c r="C64" s="9" t="str">
        <f aca="false">IF(OR(ISNUMBER(SEARCH(C$1,'Menú y Pantallas'!$F64)),ISNUMBER(SEARCH("Todos",'Menú y Pantallas'!$F64))),"X","")</f>
        <v>X</v>
      </c>
      <c r="D64" s="9" t="str">
        <f aca="false">IF(OR(ISNUMBER(SEARCH(D$1,'Menú y Pantallas'!$F64)),ISNUMBER(SEARCH("Todos",'Menú y Pantallas'!$F64))),"X","")</f>
        <v/>
      </c>
      <c r="E64" s="9" t="str">
        <f aca="false">IF(OR(ISNUMBER(SEARCH(E$1,'Menú y Pantallas'!$F64)),ISNUMBER(SEARCH("Todos",'Menú y Pantallas'!$F64))),"X","")</f>
        <v/>
      </c>
      <c r="F64" s="9" t="str">
        <f aca="false">IF(OR(ISNUMBER(SEARCH(F$1,'Menú y Pantallas'!$F64)),ISNUMBER(SEARCH("Todos",'Menú y Pantallas'!$F64))),"X","")</f>
        <v/>
      </c>
      <c r="G64" s="9" t="str">
        <f aca="false">IF(OR(ISNUMBER(SEARCH(G$1,'Menú y Pantallas'!$F64)),ISNUMBER(SEARCH("Todos",'Menú y Pantallas'!$F64))),"X","")</f>
        <v/>
      </c>
      <c r="H64" s="9" t="str">
        <f aca="false">IF(OR(ISNUMBER(SEARCH(H$1,'Menú y Pantallas'!$F64)),ISNUMBER(SEARCH("Todos",'Menú y Pantallas'!$F64))),"X","")</f>
        <v/>
      </c>
      <c r="I64" s="9" t="str">
        <f aca="false">IF(OR(ISNUMBER(SEARCH(I$1,'Menú y Pantallas'!$F64)),ISNUMBER(SEARCH("Todos",'Menú y Pantallas'!$F64))),"X","")</f>
        <v/>
      </c>
      <c r="J64" s="9" t="str">
        <f aca="false">IF(OR(ISNUMBER(SEARCH(J$1,'Menú y Pantallas'!$F64)),ISNUMBER(SEARCH("Todos",'Menú y Pantallas'!$F64))),"X","")</f>
        <v/>
      </c>
      <c r="K64" s="9" t="str">
        <f aca="false">IF(OR(ISNUMBER(SEARCH(K$1,'Menú y Pantallas'!$F64)),ISNUMBER(SEARCH("Todos",'Menú y Pantallas'!$F64))),"X","")</f>
        <v/>
      </c>
      <c r="L64" s="9" t="str">
        <f aca="false">IF(OR(ISNUMBER(SEARCH(L$1,'Menú y Pantallas'!$F64)),ISNUMBER(SEARCH("Todos",'Menú y Pantallas'!$F64))),"X","")</f>
        <v/>
      </c>
    </row>
    <row r="65" customFormat="false" ht="15" hidden="false" customHeight="false" outlineLevel="0" collapsed="false">
      <c r="A65" s="7" t="str">
        <f aca="false">'Menú y Pantallas'!C65</f>
        <v>11.7</v>
      </c>
      <c r="B65" s="8" t="str">
        <f aca="false">'Menú y Pantallas'!D65</f>
        <v>Monitor de integraciones</v>
      </c>
      <c r="C65" s="9" t="str">
        <f aca="false">IF(OR(ISNUMBER(SEARCH(C$1,'Menú y Pantallas'!$F65)),ISNUMBER(SEARCH("Todos",'Menú y Pantallas'!$F65))),"X","")</f>
        <v>X</v>
      </c>
      <c r="D65" s="9" t="str">
        <f aca="false">IF(OR(ISNUMBER(SEARCH(D$1,'Menú y Pantallas'!$F65)),ISNUMBER(SEARCH("Todos",'Menú y Pantallas'!$F65))),"X","")</f>
        <v/>
      </c>
      <c r="E65" s="9" t="str">
        <f aca="false">IF(OR(ISNUMBER(SEARCH(E$1,'Menú y Pantallas'!$F65)),ISNUMBER(SEARCH("Todos",'Menú y Pantallas'!$F65))),"X","")</f>
        <v/>
      </c>
      <c r="F65" s="9" t="str">
        <f aca="false">IF(OR(ISNUMBER(SEARCH(F$1,'Menú y Pantallas'!$F65)),ISNUMBER(SEARCH("Todos",'Menú y Pantallas'!$F65))),"X","")</f>
        <v/>
      </c>
      <c r="G65" s="9" t="str">
        <f aca="false">IF(OR(ISNUMBER(SEARCH(G$1,'Menú y Pantallas'!$F65)),ISNUMBER(SEARCH("Todos",'Menú y Pantallas'!$F65))),"X","")</f>
        <v/>
      </c>
      <c r="H65" s="9" t="str">
        <f aca="false">IF(OR(ISNUMBER(SEARCH(H$1,'Menú y Pantallas'!$F65)),ISNUMBER(SEARCH("Todos",'Menú y Pantallas'!$F65))),"X","")</f>
        <v/>
      </c>
      <c r="I65" s="9" t="str">
        <f aca="false">IF(OR(ISNUMBER(SEARCH(I$1,'Menú y Pantallas'!$F65)),ISNUMBER(SEARCH("Todos",'Menú y Pantallas'!$F65))),"X","")</f>
        <v/>
      </c>
      <c r="J65" s="9" t="str">
        <f aca="false">IF(OR(ISNUMBER(SEARCH(J$1,'Menú y Pantallas'!$F65)),ISNUMBER(SEARCH("Todos",'Menú y Pantallas'!$F65))),"X","")</f>
        <v/>
      </c>
      <c r="K65" s="9" t="str">
        <f aca="false">IF(OR(ISNUMBER(SEARCH(K$1,'Menú y Pantallas'!$F65)),ISNUMBER(SEARCH("Todos",'Menú y Pantallas'!$F65))),"X","")</f>
        <v/>
      </c>
      <c r="L65" s="9" t="str">
        <f aca="false">IF(OR(ISNUMBER(SEARCH(L$1,'Menú y Pantallas'!$F65)),ISNUMBER(SEARCH("Todos",'Menú y Pantallas'!$F65))),"X","")</f>
        <v/>
      </c>
    </row>
    <row r="66" customFormat="false" ht="15" hidden="false" customHeight="false" outlineLevel="0" collapsed="false">
      <c r="A66" s="7" t="str">
        <f aca="false">'Menú y Pantallas'!C66</f>
        <v>11.8</v>
      </c>
      <c r="B66" s="8" t="str">
        <f aca="false">'Menú y Pantallas'!D66</f>
        <v>Reglas de negocio</v>
      </c>
      <c r="C66" s="9" t="str">
        <f aca="false">IF(OR(ISNUMBER(SEARCH(C$1,'Menú y Pantallas'!$F66)),ISNUMBER(SEARCH("Todos",'Menú y Pantallas'!$F66))),"X","")</f>
        <v>X</v>
      </c>
      <c r="D66" s="9" t="str">
        <f aca="false">IF(OR(ISNUMBER(SEARCH(D$1,'Menú y Pantallas'!$F66)),ISNUMBER(SEARCH("Todos",'Menú y Pantallas'!$F66))),"X","")</f>
        <v/>
      </c>
      <c r="E66" s="9" t="str">
        <f aca="false">IF(OR(ISNUMBER(SEARCH(E$1,'Menú y Pantallas'!$F66)),ISNUMBER(SEARCH("Todos",'Menú y Pantallas'!$F66))),"X","")</f>
        <v/>
      </c>
      <c r="F66" s="9" t="str">
        <f aca="false">IF(OR(ISNUMBER(SEARCH(F$1,'Menú y Pantallas'!$F66)),ISNUMBER(SEARCH("Todos",'Menú y Pantallas'!$F66))),"X","")</f>
        <v/>
      </c>
      <c r="G66" s="9" t="str">
        <f aca="false">IF(OR(ISNUMBER(SEARCH(G$1,'Menú y Pantallas'!$F66)),ISNUMBER(SEARCH("Todos",'Menú y Pantallas'!$F66))),"X","")</f>
        <v/>
      </c>
      <c r="H66" s="9" t="str">
        <f aca="false">IF(OR(ISNUMBER(SEARCH(H$1,'Menú y Pantallas'!$F66)),ISNUMBER(SEARCH("Todos",'Menú y Pantallas'!$F66))),"X","")</f>
        <v/>
      </c>
      <c r="I66" s="9" t="str">
        <f aca="false">IF(OR(ISNUMBER(SEARCH(I$1,'Menú y Pantallas'!$F66)),ISNUMBER(SEARCH("Todos",'Menú y Pantallas'!$F66))),"X","")</f>
        <v/>
      </c>
      <c r="J66" s="9" t="str">
        <f aca="false">IF(OR(ISNUMBER(SEARCH(J$1,'Menú y Pantallas'!$F66)),ISNUMBER(SEARCH("Todos",'Menú y Pantallas'!$F66))),"X","")</f>
        <v/>
      </c>
      <c r="K66" s="9" t="str">
        <f aca="false">IF(OR(ISNUMBER(SEARCH(K$1,'Menú y Pantallas'!$F66)),ISNUMBER(SEARCH("Todos",'Menú y Pantallas'!$F66))),"X","")</f>
        <v/>
      </c>
      <c r="L66" s="9" t="str">
        <f aca="false">IF(OR(ISNUMBER(SEARCH(L$1,'Menú y Pantallas'!$F66)),ISNUMBER(SEARCH("Todos",'Menú y Pantallas'!$F66))),"X","")</f>
        <v>X</v>
      </c>
    </row>
    <row r="67" customFormat="false" ht="15" hidden="false" customHeight="false" outlineLevel="0" collapsed="false">
      <c r="A67" s="7" t="str">
        <f aca="false">'Menú y Pantallas'!C67</f>
        <v>11.9</v>
      </c>
      <c r="B67" s="8" t="str">
        <f aca="false">'Menú y Pantallas'!D67</f>
        <v>Notificaciones</v>
      </c>
      <c r="C67" s="9" t="str">
        <f aca="false">IF(OR(ISNUMBER(SEARCH(C$1,'Menú y Pantallas'!$F67)),ISNUMBER(SEARCH("Todos",'Menú y Pantallas'!$F67))),"X","")</f>
        <v>X</v>
      </c>
      <c r="D67" s="9" t="str">
        <f aca="false">IF(OR(ISNUMBER(SEARCH(D$1,'Menú y Pantallas'!$F67)),ISNUMBER(SEARCH("Todos",'Menú y Pantallas'!$F67))),"X","")</f>
        <v/>
      </c>
      <c r="E67" s="9" t="str">
        <f aca="false">IF(OR(ISNUMBER(SEARCH(E$1,'Menú y Pantallas'!$F67)),ISNUMBER(SEARCH("Todos",'Menú y Pantallas'!$F67))),"X","")</f>
        <v/>
      </c>
      <c r="F67" s="9" t="str">
        <f aca="false">IF(OR(ISNUMBER(SEARCH(F$1,'Menú y Pantallas'!$F67)),ISNUMBER(SEARCH("Todos",'Menú y Pantallas'!$F67))),"X","")</f>
        <v/>
      </c>
      <c r="G67" s="9" t="str">
        <f aca="false">IF(OR(ISNUMBER(SEARCH(G$1,'Menú y Pantallas'!$F67)),ISNUMBER(SEARCH("Todos",'Menú y Pantallas'!$F67))),"X","")</f>
        <v/>
      </c>
      <c r="H67" s="9" t="str">
        <f aca="false">IF(OR(ISNUMBER(SEARCH(H$1,'Menú y Pantallas'!$F67)),ISNUMBER(SEARCH("Todos",'Menú y Pantallas'!$F67))),"X","")</f>
        <v/>
      </c>
      <c r="I67" s="9" t="str">
        <f aca="false">IF(OR(ISNUMBER(SEARCH(I$1,'Menú y Pantallas'!$F67)),ISNUMBER(SEARCH("Todos",'Menú y Pantallas'!$F67))),"X","")</f>
        <v/>
      </c>
      <c r="J67" s="9" t="str">
        <f aca="false">IF(OR(ISNUMBER(SEARCH(J$1,'Menú y Pantallas'!$F67)),ISNUMBER(SEARCH("Todos",'Menú y Pantallas'!$F67))),"X","")</f>
        <v/>
      </c>
      <c r="K67" s="9" t="str">
        <f aca="false">IF(OR(ISNUMBER(SEARCH(K$1,'Menú y Pantallas'!$F67)),ISNUMBER(SEARCH("Todos",'Menú y Pantallas'!$F67))),"X","")</f>
        <v/>
      </c>
      <c r="L67" s="9" t="str">
        <f aca="false">IF(OR(ISNUMBER(SEARCH(L$1,'Menú y Pantallas'!$F67)),ISNUMBER(SEARCH("Todos",'Menú y Pantallas'!$F67))),"X","")</f>
        <v/>
      </c>
    </row>
    <row r="68" customFormat="false" ht="15" hidden="false" customHeight="false" outlineLevel="0" collapsed="false">
      <c r="A68" s="7" t="str">
        <f aca="false">'Menú y Pantallas'!C68</f>
        <v>11.10</v>
      </c>
      <c r="B68" s="8" t="str">
        <f aca="false">'Menú y Pantallas'!D68</f>
        <v>Documentos fiscales</v>
      </c>
      <c r="C68" s="9" t="str">
        <f aca="false">IF(OR(ISNUMBER(SEARCH(C$1,'Menú y Pantallas'!$F68)),ISNUMBER(SEARCH("Todos",'Menú y Pantallas'!$F68))),"X","")</f>
        <v>X</v>
      </c>
      <c r="D68" s="9" t="str">
        <f aca="false">IF(OR(ISNUMBER(SEARCH(D$1,'Menú y Pantallas'!$F68)),ISNUMBER(SEARCH("Todos",'Menú y Pantallas'!$F68))),"X","")</f>
        <v/>
      </c>
      <c r="E68" s="9" t="str">
        <f aca="false">IF(OR(ISNUMBER(SEARCH(E$1,'Menú y Pantallas'!$F68)),ISNUMBER(SEARCH("Todos",'Menú y Pantallas'!$F68))),"X","")</f>
        <v/>
      </c>
      <c r="F68" s="9" t="str">
        <f aca="false">IF(OR(ISNUMBER(SEARCH(F$1,'Menú y Pantallas'!$F68)),ISNUMBER(SEARCH("Todos",'Menú y Pantallas'!$F68))),"X","")</f>
        <v/>
      </c>
      <c r="G68" s="9" t="str">
        <f aca="false">IF(OR(ISNUMBER(SEARCH(G$1,'Menú y Pantallas'!$F68)),ISNUMBER(SEARCH("Todos",'Menú y Pantallas'!$F68))),"X","")</f>
        <v/>
      </c>
      <c r="H68" s="9" t="str">
        <f aca="false">IF(OR(ISNUMBER(SEARCH(H$1,'Menú y Pantallas'!$F68)),ISNUMBER(SEARCH("Todos",'Menú y Pantallas'!$F68))),"X","")</f>
        <v/>
      </c>
      <c r="I68" s="9" t="str">
        <f aca="false">IF(OR(ISNUMBER(SEARCH(I$1,'Menú y Pantallas'!$F68)),ISNUMBER(SEARCH("Todos",'Menú y Pantallas'!$F68))),"X","")</f>
        <v/>
      </c>
      <c r="J68" s="9" t="str">
        <f aca="false">IF(OR(ISNUMBER(SEARCH(J$1,'Menú y Pantallas'!$F68)),ISNUMBER(SEARCH("Todos",'Menú y Pantallas'!$F68))),"X","")</f>
        <v/>
      </c>
      <c r="K68" s="9" t="str">
        <f aca="false">IF(OR(ISNUMBER(SEARCH(K$1,'Menú y Pantallas'!$F68)),ISNUMBER(SEARCH("Todos",'Menú y Pantallas'!$F68))),"X","")</f>
        <v/>
      </c>
      <c r="L68" s="9" t="str">
        <f aca="false">IF(OR(ISNUMBER(SEARCH(L$1,'Menú y Pantallas'!$F68)),ISNUMBER(SEARCH("Todos",'Menú y Pantallas'!$F68))),"X","")</f>
        <v>X</v>
      </c>
    </row>
    <row r="70" customFormat="false" ht="15" hidden="false" customHeight="false" outlineLevel="0" collapsed="false">
      <c r="B70" s="4" t="s">
        <v>264</v>
      </c>
      <c r="C70" s="10" t="n">
        <f aca="false">COUNTIF(C2:C68,"X")</f>
        <v>30</v>
      </c>
      <c r="D70" s="10" t="n">
        <f aca="false">COUNTIF(D2:D68,"X")</f>
        <v>42</v>
      </c>
      <c r="E70" s="10" t="n">
        <f aca="false">COUNTIF(E2:E68,"X")</f>
        <v>9</v>
      </c>
      <c r="F70" s="10" t="n">
        <f aca="false">COUNTIF(F2:F68,"X")</f>
        <v>6</v>
      </c>
      <c r="G70" s="10" t="n">
        <f aca="false">COUNTIF(G2:G68,"X")</f>
        <v>4</v>
      </c>
      <c r="H70" s="10" t="n">
        <f aca="false">COUNTIF(H2:H68,"X")</f>
        <v>5</v>
      </c>
      <c r="I70" s="10" t="n">
        <f aca="false">COUNTIF(I2:I68,"X")</f>
        <v>11</v>
      </c>
      <c r="J70" s="10" t="n">
        <f aca="false">COUNTIF(J2:J68,"X")</f>
        <v>12</v>
      </c>
      <c r="K70" s="10" t="n">
        <f aca="false">COUNTIF(K2:K68,"X")</f>
        <v>12</v>
      </c>
      <c r="L70" s="10" t="n">
        <f aca="false">COUNTIF(L2:L68,"X")</f>
        <v>17</v>
      </c>
    </row>
    <row r="72" customFormat="false" ht="15" hidden="false" customHeight="false" outlineLevel="0" collapsed="false">
      <c r="B72" s="5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6" t="s">
        <v>2</v>
      </c>
      <c r="B1" s="6" t="s">
        <v>266</v>
      </c>
      <c r="C1" s="6" t="s">
        <v>4</v>
      </c>
      <c r="D1" s="6" t="s">
        <v>267</v>
      </c>
    </row>
    <row r="2" customFormat="false" ht="15" hidden="false" customHeight="false" outlineLevel="0" collapsed="false">
      <c r="A2" s="2" t="s">
        <v>27</v>
      </c>
      <c r="B2" s="11" t="s">
        <v>268</v>
      </c>
      <c r="C2" s="3" t="s">
        <v>269</v>
      </c>
      <c r="D2" s="12" t="n">
        <f aca="false">'Matriz Roles'!C70</f>
        <v>30</v>
      </c>
    </row>
    <row r="3" customFormat="false" ht="15" hidden="false" customHeight="false" outlineLevel="0" collapsed="false">
      <c r="A3" s="2" t="s">
        <v>105</v>
      </c>
      <c r="B3" s="11" t="s">
        <v>270</v>
      </c>
      <c r="C3" s="3" t="s">
        <v>271</v>
      </c>
      <c r="D3" s="12" t="n">
        <f aca="false">'Matriz Roles'!D70</f>
        <v>42</v>
      </c>
    </row>
    <row r="4" customFormat="false" ht="15" hidden="false" customHeight="false" outlineLevel="0" collapsed="false">
      <c r="A4" s="2" t="s">
        <v>55</v>
      </c>
      <c r="B4" s="11" t="s">
        <v>272</v>
      </c>
      <c r="C4" s="3" t="s">
        <v>273</v>
      </c>
      <c r="D4" s="12" t="n">
        <f aca="false">'Matriz Roles'!E70</f>
        <v>9</v>
      </c>
    </row>
    <row r="5" customFormat="false" ht="15" hidden="false" customHeight="false" outlineLevel="0" collapsed="false">
      <c r="A5" s="2" t="s">
        <v>145</v>
      </c>
      <c r="B5" s="11" t="s">
        <v>274</v>
      </c>
      <c r="C5" s="3" t="s">
        <v>275</v>
      </c>
      <c r="D5" s="12" t="n">
        <f aca="false">'Matriz Roles'!F70</f>
        <v>6</v>
      </c>
    </row>
    <row r="6" customFormat="false" ht="15" hidden="false" customHeight="false" outlineLevel="0" collapsed="false">
      <c r="A6" s="2" t="s">
        <v>149</v>
      </c>
      <c r="B6" s="11" t="s">
        <v>276</v>
      </c>
      <c r="C6" s="3" t="s">
        <v>277</v>
      </c>
      <c r="D6" s="12" t="n">
        <f aca="false">'Matriz Roles'!G70</f>
        <v>4</v>
      </c>
    </row>
    <row r="7" customFormat="false" ht="15" hidden="false" customHeight="false" outlineLevel="0" collapsed="false">
      <c r="A7" s="2" t="s">
        <v>261</v>
      </c>
      <c r="B7" s="11" t="s">
        <v>278</v>
      </c>
      <c r="C7" s="3" t="s">
        <v>279</v>
      </c>
      <c r="D7" s="12" t="n">
        <f aca="false">'Matriz Roles'!H70</f>
        <v>5</v>
      </c>
    </row>
    <row r="8" customFormat="false" ht="15" hidden="false" customHeight="false" outlineLevel="0" collapsed="false">
      <c r="A8" s="2" t="s">
        <v>262</v>
      </c>
      <c r="B8" s="11" t="s">
        <v>280</v>
      </c>
      <c r="C8" s="3" t="s">
        <v>281</v>
      </c>
      <c r="D8" s="12" t="n">
        <f aca="false">'Matriz Roles'!I70</f>
        <v>11</v>
      </c>
    </row>
    <row r="9" customFormat="false" ht="15" hidden="false" customHeight="false" outlineLevel="0" collapsed="false">
      <c r="A9" s="2" t="s">
        <v>127</v>
      </c>
      <c r="B9" s="11" t="s">
        <v>282</v>
      </c>
      <c r="C9" s="3" t="s">
        <v>283</v>
      </c>
      <c r="D9" s="12" t="n">
        <f aca="false">'Matriz Roles'!J70</f>
        <v>12</v>
      </c>
    </row>
    <row r="10" customFormat="false" ht="15" hidden="false" customHeight="false" outlineLevel="0" collapsed="false">
      <c r="A10" s="2" t="s">
        <v>181</v>
      </c>
      <c r="B10" s="11" t="s">
        <v>284</v>
      </c>
      <c r="C10" s="3" t="s">
        <v>285</v>
      </c>
      <c r="D10" s="12" t="n">
        <f aca="false">'Matriz Roles'!K70</f>
        <v>12</v>
      </c>
    </row>
    <row r="11" customFormat="false" ht="15" hidden="false" customHeight="false" outlineLevel="0" collapsed="false">
      <c r="A11" s="2" t="s">
        <v>263</v>
      </c>
      <c r="B11" s="11" t="s">
        <v>286</v>
      </c>
      <c r="C11" s="3" t="s">
        <v>287</v>
      </c>
      <c r="D11" s="12" t="n">
        <f aca="false">'Matriz Roles'!L70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288</v>
      </c>
    </row>
    <row r="2" customFormat="false" ht="15" hidden="false" customHeight="false" outlineLevel="0" collapsed="false">
      <c r="A2" s="13" t="n">
        <v>1</v>
      </c>
      <c r="B2" s="14" t="s">
        <v>6</v>
      </c>
      <c r="C2" s="13" t="n">
        <f aca="false">COUNTIF('Menú y Pantallas'!$A$2:$A$68,A2)</f>
        <v>3</v>
      </c>
    </row>
    <row r="3" customFormat="false" ht="15" hidden="false" customHeight="false" outlineLevel="0" collapsed="false">
      <c r="A3" s="13" t="n">
        <v>2</v>
      </c>
      <c r="B3" s="14" t="s">
        <v>19</v>
      </c>
      <c r="C3" s="13" t="n">
        <f aca="false">COUNTIF('Menú y Pantallas'!$A$2:$A$68,A3)</f>
        <v>5</v>
      </c>
    </row>
    <row r="4" customFormat="false" ht="15" hidden="false" customHeight="false" outlineLevel="0" collapsed="false">
      <c r="A4" s="13" t="n">
        <v>3</v>
      </c>
      <c r="B4" s="14" t="s">
        <v>39</v>
      </c>
      <c r="C4" s="13" t="n">
        <f aca="false">COUNTIF('Menú y Pantallas'!$A$2:$A$68,A4)</f>
        <v>6</v>
      </c>
    </row>
    <row r="5" customFormat="false" ht="15" hidden="false" customHeight="false" outlineLevel="0" collapsed="false">
      <c r="A5" s="13" t="n">
        <v>4</v>
      </c>
      <c r="B5" s="14" t="s">
        <v>63</v>
      </c>
      <c r="C5" s="13" t="n">
        <f aca="false">COUNTIF('Menú y Pantallas'!$A$2:$A$68,A5)</f>
        <v>7</v>
      </c>
    </row>
    <row r="6" customFormat="false" ht="15" hidden="false" customHeight="false" outlineLevel="0" collapsed="false">
      <c r="A6" s="13" t="n">
        <v>5</v>
      </c>
      <c r="B6" s="14" t="s">
        <v>91</v>
      </c>
      <c r="C6" s="13" t="n">
        <f aca="false">COUNTIF('Menú y Pantallas'!$A$2:$A$68,A6)</f>
        <v>7</v>
      </c>
    </row>
    <row r="7" customFormat="false" ht="15" hidden="false" customHeight="false" outlineLevel="0" collapsed="false">
      <c r="A7" s="13" t="n">
        <v>6</v>
      </c>
      <c r="B7" s="14" t="s">
        <v>115</v>
      </c>
      <c r="C7" s="13" t="n">
        <f aca="false">COUNTIF('Menú y Pantallas'!$A$2:$A$68,A7)</f>
        <v>5</v>
      </c>
    </row>
    <row r="8" customFormat="false" ht="15" hidden="false" customHeight="false" outlineLevel="0" collapsed="false">
      <c r="A8" s="13" t="n">
        <v>7</v>
      </c>
      <c r="B8" s="14" t="s">
        <v>135</v>
      </c>
      <c r="C8" s="13" t="n">
        <f aca="false">COUNTIF('Menú y Pantallas'!$A$2:$A$68,A8)</f>
        <v>6</v>
      </c>
    </row>
    <row r="9" customFormat="false" ht="15" hidden="false" customHeight="false" outlineLevel="0" collapsed="false">
      <c r="A9" s="13" t="n">
        <v>8</v>
      </c>
      <c r="B9" s="14" t="s">
        <v>158</v>
      </c>
      <c r="C9" s="13" t="n">
        <f aca="false">COUNTIF('Menú y Pantallas'!$A$2:$A$68,A9)</f>
        <v>7</v>
      </c>
    </row>
    <row r="10" customFormat="false" ht="15" hidden="false" customHeight="false" outlineLevel="0" collapsed="false">
      <c r="A10" s="13" t="n">
        <v>9</v>
      </c>
      <c r="B10" s="14" t="s">
        <v>186</v>
      </c>
      <c r="C10" s="13" t="n">
        <f aca="false">COUNTIF('Menú y Pantallas'!$A$2:$A$68,A10)</f>
        <v>4</v>
      </c>
    </row>
    <row r="11" customFormat="false" ht="15" hidden="false" customHeight="false" outlineLevel="0" collapsed="false">
      <c r="A11" s="13" t="n">
        <v>10</v>
      </c>
      <c r="B11" s="14" t="s">
        <v>200</v>
      </c>
      <c r="C11" s="13" t="n">
        <f aca="false">COUNTIF('Menú y Pantallas'!$A$2:$A$68,A11)</f>
        <v>7</v>
      </c>
    </row>
    <row r="12" customFormat="false" ht="15" hidden="false" customHeight="false" outlineLevel="0" collapsed="false">
      <c r="A12" s="13" t="n">
        <v>11</v>
      </c>
      <c r="B12" s="14" t="s">
        <v>226</v>
      </c>
      <c r="C12" s="13" t="n">
        <f aca="false">COUNTIF('Menú y Pantallas'!$A$2:$A$68,A12)</f>
        <v>10</v>
      </c>
    </row>
    <row r="13" customFormat="false" ht="15" hidden="false" customHeight="false" outlineLevel="0" collapsed="false">
      <c r="B13" s="4" t="s">
        <v>289</v>
      </c>
      <c r="C13" s="15" t="n">
        <f aca="false">SUM(C2:C12)</f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2026-10-19T19:28:06Z</dcterms:created>
  <dc:creator>openpyxl</dc:creator>
  <dc:description/>
  <dc:language>en-US</dc:language>
  <cp:lastModifiedBy/>
  <dcterms:modified xsi:type="dcterms:W3CDTF">2026-10-19T19:28:06Z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